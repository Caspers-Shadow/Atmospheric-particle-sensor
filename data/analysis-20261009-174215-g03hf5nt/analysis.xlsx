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xperiment" sheetId="2" r:id="rId2"/>
    <sheet name="Gas trends" sheetId="3" r:id="rId3"/>
  </sheets>
  <calcPr calcId="124519" fullCalcOnLoad="1"/>
</workbook>
</file>

<file path=xl/sharedStrings.xml><?xml version="1.0" encoding="utf-8"?>
<sst xmlns="http://schemas.openxmlformats.org/spreadsheetml/2006/main" count="3241" uniqueCount="833">
  <si>
    <t>Experiment analysis</t>
  </si>
  <si>
    <t>First reading (SAST)</t>
  </si>
  <si>
    <t>2026-10-09T11:00:00.366145+02:00</t>
  </si>
  <si>
    <t>Last reading (SAST)</t>
  </si>
  <si>
    <t>2026-10-09T13:12:25.742104+02:00</t>
  </si>
  <si>
    <t>Selected readings</t>
  </si>
  <si>
    <t>Source SHA-256</t>
  </si>
  <si>
    <t>99c1be3619679e3ff2091629e0890ca21174a23c38b019527219eced8fd915f7</t>
  </si>
  <si>
    <t>Gas indices are relative; CO/NO2 columns are aliases, not separate sensors.</t>
  </si>
  <si>
    <t>2026-10-09T09:00:00.366145+00:00</t>
  </si>
  <si>
    <t>2026-10-09T11:00:20.379862+02:00</t>
  </si>
  <si>
    <t>2026-10-09T09:00:20.379862+00:00</t>
  </si>
  <si>
    <t>2026-10-09T11:00:40.393238+02:00</t>
  </si>
  <si>
    <t>2026-10-09T09:00:40.393238+00:00</t>
  </si>
  <si>
    <t>2026-10-09T11:01:00.406300+02:00</t>
  </si>
  <si>
    <t>2026-10-09T09:01:00.406300+00:00</t>
  </si>
  <si>
    <t>2026-10-09T11:01:20.419728+02:00</t>
  </si>
  <si>
    <t>2026-10-09T09:01:20.419728+00:00</t>
  </si>
  <si>
    <t>2026-10-09T11:01:40.433263+02:00</t>
  </si>
  <si>
    <t>2026-10-09T09:01:40.433263+00:00</t>
  </si>
  <si>
    <t>2026-10-09T11:02:00.447407+02:00</t>
  </si>
  <si>
    <t>2026-10-09T09:02:00.447407+00:00</t>
  </si>
  <si>
    <t>2026-10-09T11:02:20.461059+02:00</t>
  </si>
  <si>
    <t>2026-10-09T09:02:20.461059+00:00</t>
  </si>
  <si>
    <t>2026-10-09T11:02:40.473623+02:00</t>
  </si>
  <si>
    <t>2026-10-09T09:02:40.473623+00:00</t>
  </si>
  <si>
    <t>2026-10-09T11:03:00.488568+02:00</t>
  </si>
  <si>
    <t>2026-10-09T09:03:00.488568+00:00</t>
  </si>
  <si>
    <t>2026-10-09T11:03:20.501980+02:00</t>
  </si>
  <si>
    <t>2026-10-09T09:03:20.501980+00:00</t>
  </si>
  <si>
    <t>2026-10-09T11:03:40.515324+02:00</t>
  </si>
  <si>
    <t>2026-10-09T09:03:40.515324+00:00</t>
  </si>
  <si>
    <t>2026-10-09T11:04:00.528319+02:00</t>
  </si>
  <si>
    <t>2026-10-09T09:04:00.528319+00:00</t>
  </si>
  <si>
    <t>2026-10-09T11:04:20.542465+02:00</t>
  </si>
  <si>
    <t>2026-10-09T09:04:20.542465+00:00</t>
  </si>
  <si>
    <t>2026-10-09T11:04:40.555757+02:00</t>
  </si>
  <si>
    <t>2026-10-09T09:04:40.555757+00:00</t>
  </si>
  <si>
    <t>2026-10-09T11:05:00.569452+02:00</t>
  </si>
  <si>
    <t>2026-10-09T09:05:00.569452+00:00</t>
  </si>
  <si>
    <t>2026-10-09T11:05:20.582885+02:00</t>
  </si>
  <si>
    <t>2026-10-09T09:05:20.582885+00:00</t>
  </si>
  <si>
    <t>2026-10-09T11:05:40.596591+02:00</t>
  </si>
  <si>
    <t>2026-10-09T09:05:40.596591+00:00</t>
  </si>
  <si>
    <t>2026-10-09T11:06:00.609926+02:00</t>
  </si>
  <si>
    <t>2026-10-09T09:06:00.609926+00:00</t>
  </si>
  <si>
    <t>2026-10-09T11:06:20.623556+02:00</t>
  </si>
  <si>
    <t>2026-10-09T09:06:20.623556+00:00</t>
  </si>
  <si>
    <t>2026-10-09T11:06:40.636979+02:00</t>
  </si>
  <si>
    <t>2026-10-09T09:06:40.636979+00:00</t>
  </si>
  <si>
    <t>2026-10-09T11:07:00.650946+02:00</t>
  </si>
  <si>
    <t>2026-10-09T09:07:00.650946+00:00</t>
  </si>
  <si>
    <t>2026-10-09T11:07:20.664350+02:00</t>
  </si>
  <si>
    <t>2026-10-09T09:07:20.664350+00:00</t>
  </si>
  <si>
    <t>2026-10-09T11:07:40.678125+02:00</t>
  </si>
  <si>
    <t>2026-10-09T09:07:40.678125+00:00</t>
  </si>
  <si>
    <t>2026-10-09T11:08:00.691495+02:00</t>
  </si>
  <si>
    <t>2026-10-09T09:08:00.691495+00:00</t>
  </si>
  <si>
    <t>2026-10-09T11:08:20.705097+02:00</t>
  </si>
  <si>
    <t>2026-10-09T09:08:20.705097+00:00</t>
  </si>
  <si>
    <t>2026-10-09T11:08:40.718705+02:00</t>
  </si>
  <si>
    <t>2026-10-09T09:08:40.718705+00:00</t>
  </si>
  <si>
    <t>2026-10-09T11:09:00.732089+02:00</t>
  </si>
  <si>
    <t>2026-10-09T09:09:00.732089+00:00</t>
  </si>
  <si>
    <t>2026-10-09T11:09:20.745426+02:00</t>
  </si>
  <si>
    <t>2026-10-09T09:09:20.745426+00:00</t>
  </si>
  <si>
    <t>2026-10-09T11:09:40.758869+02:00</t>
  </si>
  <si>
    <t>2026-10-09T09:09:40.758869+00:00</t>
  </si>
  <si>
    <t>2026-10-09T11:10:00.773092+02:00</t>
  </si>
  <si>
    <t>2026-10-09T09:10:00.773092+00:00</t>
  </si>
  <si>
    <t>2026-10-09T11:10:20.786628+02:00</t>
  </si>
  <si>
    <t>2026-10-09T09:10:20.786628+00:00</t>
  </si>
  <si>
    <t>2026-10-09T11:10:40.800441+02:00</t>
  </si>
  <si>
    <t>2026-10-09T09:10:40.800441+00:00</t>
  </si>
  <si>
    <t>2026-10-09T11:11:00.813844+02:00</t>
  </si>
  <si>
    <t>2026-10-09T09:11:00.813844+00:00</t>
  </si>
  <si>
    <t>2026-10-09T11:11:20.827859+02:00</t>
  </si>
  <si>
    <t>2026-10-09T09:11:20.827859+00:00</t>
  </si>
  <si>
    <t>2026-10-09T11:11:40.841499+02:00</t>
  </si>
  <si>
    <t>2026-10-09T09:11:40.841499+00:00</t>
  </si>
  <si>
    <t>2026-10-09T11:12:00.854919+02:00</t>
  </si>
  <si>
    <t>2026-10-09T09:12:00.854919+00:00</t>
  </si>
  <si>
    <t>2026-10-09T11:12:20.868855+02:00</t>
  </si>
  <si>
    <t>2026-10-09T09:12:20.868855+00:00</t>
  </si>
  <si>
    <t>2026-10-09T11:12:40.882386+02:00</t>
  </si>
  <si>
    <t>2026-10-09T09:12:40.882386+00:00</t>
  </si>
  <si>
    <t>2026-10-09T11:13:00.896716+02:00</t>
  </si>
  <si>
    <t>2026-10-09T09:13:00.896716+00:00</t>
  </si>
  <si>
    <t>2026-10-09T11:13:20.910002+02:00</t>
  </si>
  <si>
    <t>2026-10-09T09:13:20.910002+00:00</t>
  </si>
  <si>
    <t>2026-10-09T11:13:40.923441+02:00</t>
  </si>
  <si>
    <t>2026-10-09T09:13:40.923441+00:00</t>
  </si>
  <si>
    <t>2026-10-09T11:14:00.936915+02:00</t>
  </si>
  <si>
    <t>2026-10-09T09:14:00.936915+00:00</t>
  </si>
  <si>
    <t>2026-10-09T11:14:20.950380+02:00</t>
  </si>
  <si>
    <t>2026-10-09T09:14:20.950380+00:00</t>
  </si>
  <si>
    <t>2026-10-09T11:14:40.963775+02:00</t>
  </si>
  <si>
    <t>2026-10-09T09:14:40.963775+00:00</t>
  </si>
  <si>
    <t>2026-10-09T11:15:00.977375+02:00</t>
  </si>
  <si>
    <t>2026-10-09T09:15:00.977375+00:00</t>
  </si>
  <si>
    <t>2026-10-09T11:15:20.990803+02:00</t>
  </si>
  <si>
    <t>2026-10-09T09:15:20.990803+00:00</t>
  </si>
  <si>
    <t>2026-10-09T11:15:41.004607+02:00</t>
  </si>
  <si>
    <t>2026-10-09T09:15:41.004607+00:00</t>
  </si>
  <si>
    <t>2026-10-09T11:16:01.018217+02:00</t>
  </si>
  <si>
    <t>2026-10-09T09:16:01.018217+00:00</t>
  </si>
  <si>
    <t>2026-10-09T11:16:21.031982+02:00</t>
  </si>
  <si>
    <t>2026-10-09T09:16:21.031982+00:00</t>
  </si>
  <si>
    <t>2026-10-09T11:16:41.045258+02:00</t>
  </si>
  <si>
    <t>2026-10-09T09:16:41.045258+00:00</t>
  </si>
  <si>
    <t>2026-10-09T11:17:01.059663+02:00</t>
  </si>
  <si>
    <t>2026-10-09T09:17:01.059663+00:00</t>
  </si>
  <si>
    <t>2026-10-09T11:17:21.072970+02:00</t>
  </si>
  <si>
    <t>2026-10-09T09:17:21.072970+00:00</t>
  </si>
  <si>
    <t>2026-10-09T11:17:41.086503+02:00</t>
  </si>
  <si>
    <t>2026-10-09T09:17:41.086503+00:00</t>
  </si>
  <si>
    <t>2026-10-09T11:18:01.100363+02:00</t>
  </si>
  <si>
    <t>2026-10-09T09:18:01.100363+00:00</t>
  </si>
  <si>
    <t>2026-10-09T11:18:21.113722+02:00</t>
  </si>
  <si>
    <t>2026-10-09T09:18:21.113722+00:00</t>
  </si>
  <si>
    <t>2026-10-09T11:18:41.127279+02:00</t>
  </si>
  <si>
    <t>2026-10-09T09:18:41.127279+00:00</t>
  </si>
  <si>
    <t>2026-10-09T11:19:01.140571+02:00</t>
  </si>
  <si>
    <t>2026-10-09T09:19:01.140571+00:00</t>
  </si>
  <si>
    <t>2026-10-09T11:19:21.154036+02:00</t>
  </si>
  <si>
    <t>2026-10-09T09:19:21.154036+00:00</t>
  </si>
  <si>
    <t>2026-10-09T11:19:41.167552+02:00</t>
  </si>
  <si>
    <t>2026-10-09T09:19:41.167552+00:00</t>
  </si>
  <si>
    <t>2026-10-09T11:20:01.181172+02:00</t>
  </si>
  <si>
    <t>2026-10-09T09:20:01.181172+00:00</t>
  </si>
  <si>
    <t>2026-10-09T11:20:21.195109+02:00</t>
  </si>
  <si>
    <t>2026-10-09T09:20:21.195109+00:00</t>
  </si>
  <si>
    <t>2026-10-09T11:20:41.209327+02:00</t>
  </si>
  <si>
    <t>2026-10-09T09:20:41.209327+00:00</t>
  </si>
  <si>
    <t>2026-10-09T11:21:01.222579+02:00</t>
  </si>
  <si>
    <t>2026-10-09T09:21:01.222579+00:00</t>
  </si>
  <si>
    <t>2026-10-09T11:21:21.236156+02:00</t>
  </si>
  <si>
    <t>2026-10-09T09:21:21.236156+00:00</t>
  </si>
  <si>
    <t>2026-10-09T11:21:41.249643+02:00</t>
  </si>
  <si>
    <t>2026-10-09T09:21:41.249643+00:00</t>
  </si>
  <si>
    <t>2026-10-09T11:22:01.263272+02:00</t>
  </si>
  <si>
    <t>2026-10-09T09:22:01.263272+00:00</t>
  </si>
  <si>
    <t>2026-10-09T11:22:21.276972+02:00</t>
  </si>
  <si>
    <t>2026-10-09T09:22:21.276972+00:00</t>
  </si>
  <si>
    <t>2026-10-09T11:22:41.290560+02:00</t>
  </si>
  <si>
    <t>2026-10-09T09:22:41.290560+00:00</t>
  </si>
  <si>
    <t>2026-10-09T11:23:01.304009+02:00</t>
  </si>
  <si>
    <t>2026-10-09T09:23:01.304009+00:00</t>
  </si>
  <si>
    <t>2026-10-09T11:23:21.317492+02:00</t>
  </si>
  <si>
    <t>2026-10-09T09:23:21.317492+00:00</t>
  </si>
  <si>
    <t>2026-10-09T11:23:41.330763+02:00</t>
  </si>
  <si>
    <t>2026-10-09T09:23:41.330763+00:00</t>
  </si>
  <si>
    <t>2026-10-09T11:24:01.344703+02:00</t>
  </si>
  <si>
    <t>2026-10-09T09:24:01.344703+00:00</t>
  </si>
  <si>
    <t>2026-10-09T11:24:21.358185+02:00</t>
  </si>
  <si>
    <t>2026-10-09T09:24:21.358185+00:00</t>
  </si>
  <si>
    <t>2026-10-09T11:24:41.371997+02:00</t>
  </si>
  <si>
    <t>2026-10-09T09:24:41.371997+00:00</t>
  </si>
  <si>
    <t>2026-10-09T11:25:01.385723+02:00</t>
  </si>
  <si>
    <t>2026-10-09T09:25:01.385723+00:00</t>
  </si>
  <si>
    <t>2026-10-09T11:25:21.399491+02:00</t>
  </si>
  <si>
    <t>2026-10-09T09:25:21.399491+00:00</t>
  </si>
  <si>
    <t>2026-10-09T11:25:41.413158+02:00</t>
  </si>
  <si>
    <t>2026-10-09T09:25:41.413158+00:00</t>
  </si>
  <si>
    <t>2026-10-09T11:26:01.427009+02:00</t>
  </si>
  <si>
    <t>2026-10-09T09:26:01.427009+00:00</t>
  </si>
  <si>
    <t>2026-10-09T11:26:21.440303+02:00</t>
  </si>
  <si>
    <t>2026-10-09T09:26:21.440303+00:00</t>
  </si>
  <si>
    <t>2026-10-09T11:26:41.454119+02:00</t>
  </si>
  <si>
    <t>2026-10-09T09:26:41.454119+00:00</t>
  </si>
  <si>
    <t>2026-10-09T11:27:01.468165+02:00</t>
  </si>
  <si>
    <t>2026-10-09T09:27:01.468165+00:00</t>
  </si>
  <si>
    <t>2026-10-09T11:27:21.481572+02:00</t>
  </si>
  <si>
    <t>2026-10-09T09:27:21.481572+00:00</t>
  </si>
  <si>
    <t>2026-10-09T11:27:41.495313+02:00</t>
  </si>
  <si>
    <t>2026-10-09T09:27:41.495313+00:00</t>
  </si>
  <si>
    <t>2026-10-09T11:28:01.508498+02:00</t>
  </si>
  <si>
    <t>2026-10-09T09:28:01.508498+00:00</t>
  </si>
  <si>
    <t>2026-10-09T11:28:21.521779+02:00</t>
  </si>
  <si>
    <t>2026-10-09T09:28:21.521779+00:00</t>
  </si>
  <si>
    <t>2026-10-09T11:28:41.535218+02:00</t>
  </si>
  <si>
    <t>2026-10-09T09:28:41.535218+00:00</t>
  </si>
  <si>
    <t>2026-10-09T11:29:01.547989+02:00</t>
  </si>
  <si>
    <t>2026-10-09T09:29:01.547989+00:00</t>
  </si>
  <si>
    <t>2026-10-09T11:29:21.561762+02:00</t>
  </si>
  <si>
    <t>2026-10-09T09:29:21.561762+00:00</t>
  </si>
  <si>
    <t>2026-10-09T11:29:41.575136+02:00</t>
  </si>
  <si>
    <t>2026-10-09T09:29:41.575136+00:00</t>
  </si>
  <si>
    <t>2026-10-09T11:30:01.589680+02:00</t>
  </si>
  <si>
    <t>2026-10-09T09:30:01.589680+00:00</t>
  </si>
  <si>
    <t>2026-10-09T11:30:21.603215+02:00</t>
  </si>
  <si>
    <t>2026-10-09T09:30:21.603215+00:00</t>
  </si>
  <si>
    <t>2026-10-09T11:30:41.616674+02:00</t>
  </si>
  <si>
    <t>2026-10-09T09:30:41.616674+00:00</t>
  </si>
  <si>
    <t>2026-10-09T11:31:01.629739+02:00</t>
  </si>
  <si>
    <t>2026-10-09T09:31:01.629739+00:00</t>
  </si>
  <si>
    <t>2026-10-09T11:31:21.643577+02:00</t>
  </si>
  <si>
    <t>2026-10-09T09:31:21.643577+00:00</t>
  </si>
  <si>
    <t>2026-10-09T11:31:41.657088+02:00</t>
  </si>
  <si>
    <t>2026-10-09T09:31:41.657088+00:00</t>
  </si>
  <si>
    <t>2026-10-09T11:32:01.670580+02:00</t>
  </si>
  <si>
    <t>2026-10-09T09:32:01.670580+00:00</t>
  </si>
  <si>
    <t>2026-10-09T11:32:21.684119+02:00</t>
  </si>
  <si>
    <t>2026-10-09T09:32:21.684119+00:00</t>
  </si>
  <si>
    <t>2026-10-09T11:32:41.697902+02:00</t>
  </si>
  <si>
    <t>2026-10-09T09:32:41.697902+00:00</t>
  </si>
  <si>
    <t>2026-10-09T11:33:01.711208+02:00</t>
  </si>
  <si>
    <t>2026-10-09T09:33:01.711208+00:00</t>
  </si>
  <si>
    <t>2026-10-09T11:33:21.724554+02:00</t>
  </si>
  <si>
    <t>2026-10-09T09:33:21.724554+00:00</t>
  </si>
  <si>
    <t>2026-10-09T11:33:41.737695+02:00</t>
  </si>
  <si>
    <t>2026-10-09T09:33:41.737695+00:00</t>
  </si>
  <si>
    <t>2026-10-09T11:34:01.751122+02:00</t>
  </si>
  <si>
    <t>2026-10-09T09:34:01.751122+00:00</t>
  </si>
  <si>
    <t>2026-10-09T11:34:21.764993+02:00</t>
  </si>
  <si>
    <t>2026-10-09T09:34:21.764993+00:00</t>
  </si>
  <si>
    <t>2026-10-09T11:34:41.778392+02:00</t>
  </si>
  <si>
    <t>2026-10-09T09:34:41.778392+00:00</t>
  </si>
  <si>
    <t>2026-10-09T11:35:01.792479+02:00</t>
  </si>
  <si>
    <t>2026-10-09T09:35:01.792479+00:00</t>
  </si>
  <si>
    <t>2026-10-09T11:35:21.806295+02:00</t>
  </si>
  <si>
    <t>2026-10-09T09:35:21.806295+00:00</t>
  </si>
  <si>
    <t>2026-10-09T11:35:41.819508+02:00</t>
  </si>
  <si>
    <t>2026-10-09T09:35:41.819508+00:00</t>
  </si>
  <si>
    <t>2026-10-09T11:36:01.832877+02:00</t>
  </si>
  <si>
    <t>2026-10-09T09:36:01.832877+00:00</t>
  </si>
  <si>
    <t>2026-10-09T11:36:21.846238+02:00</t>
  </si>
  <si>
    <t>2026-10-09T09:36:21.846238+00:00</t>
  </si>
  <si>
    <t>2026-10-09T11:36:41.859591+02:00</t>
  </si>
  <si>
    <t>2026-10-09T09:36:41.859591+00:00</t>
  </si>
  <si>
    <t>2026-10-09T11:37:01.873061+02:00</t>
  </si>
  <si>
    <t>2026-10-09T09:37:01.873061+00:00</t>
  </si>
  <si>
    <t>2026-10-09T11:37:21.887990+02:00</t>
  </si>
  <si>
    <t>2026-10-09T09:37:21.887990+00:00</t>
  </si>
  <si>
    <t>2026-10-09T11:37:41.902089+02:00</t>
  </si>
  <si>
    <t>2026-10-09T09:37:41.902089+00:00</t>
  </si>
  <si>
    <t>2026-10-09T11:38:01.915440+02:00</t>
  </si>
  <si>
    <t>2026-10-09T09:38:01.915440+00:00</t>
  </si>
  <si>
    <t>2026-10-09T11:38:21.928860+02:00</t>
  </si>
  <si>
    <t>2026-10-09T09:38:21.928860+00:00</t>
  </si>
  <si>
    <t>2026-10-09T11:38:41.942347+02:00</t>
  </si>
  <si>
    <t>2026-10-09T09:38:41.942347+00:00</t>
  </si>
  <si>
    <t>2026-10-09T11:39:01.955879+02:00</t>
  </si>
  <si>
    <t>2026-10-09T09:39:01.955879+00:00</t>
  </si>
  <si>
    <t>2026-10-09T11:39:21.969169+02:00</t>
  </si>
  <si>
    <t>2026-10-09T09:39:21.969169+00:00</t>
  </si>
  <si>
    <t>2026-10-09T11:39:41.983195+02:00</t>
  </si>
  <si>
    <t>2026-10-09T09:39:41.983195+00:00</t>
  </si>
  <si>
    <t>2026-10-09T11:40:01.996517+02:00</t>
  </si>
  <si>
    <t>2026-10-09T09:40:01.996517+00:00</t>
  </si>
  <si>
    <t>2026-10-09T11:40:22.010108+02:00</t>
  </si>
  <si>
    <t>2026-10-09T09:40:22.010108+00:00</t>
  </si>
  <si>
    <t>2026-10-09T11:40:42.023346+02:00</t>
  </si>
  <si>
    <t>2026-10-09T09:40:42.023346+00:00</t>
  </si>
  <si>
    <t>2026-10-09T11:41:02.036916+02:00</t>
  </si>
  <si>
    <t>2026-10-09T09:41:02.036916+00:00</t>
  </si>
  <si>
    <t>2026-10-09T11:41:22.050363+02:00</t>
  </si>
  <si>
    <t>2026-10-09T09:41:22.050363+00:00</t>
  </si>
  <si>
    <t>2026-10-09T11:41:42.063631+02:00</t>
  </si>
  <si>
    <t>2026-10-09T09:41:42.063631+00:00</t>
  </si>
  <si>
    <t>2026-10-09T11:42:02.076991+02:00</t>
  </si>
  <si>
    <t>2026-10-09T09:42:02.076991+00:00</t>
  </si>
  <si>
    <t>2026-10-09T11:42:22.090588+02:00</t>
  </si>
  <si>
    <t>2026-10-09T09:42:22.090588+00:00</t>
  </si>
  <si>
    <t>2026-10-09T11:42:42.103950+02:00</t>
  </si>
  <si>
    <t>2026-10-09T09:42:42.103950+00:00</t>
  </si>
  <si>
    <t>2026-10-09T11:43:02.117987+02:00</t>
  </si>
  <si>
    <t>2026-10-09T09:43:02.117987+00:00</t>
  </si>
  <si>
    <t>2026-10-09T11:43:22.131306+02:00</t>
  </si>
  <si>
    <t>2026-10-09T09:43:22.131306+00:00</t>
  </si>
  <si>
    <t>2026-10-09T11:43:42.145152+02:00</t>
  </si>
  <si>
    <t>2026-10-09T09:43:42.145152+00:00</t>
  </si>
  <si>
    <t>2026-10-09T11:44:02.158598+02:00</t>
  </si>
  <si>
    <t>2026-10-09T09:44:02.158598+00:00</t>
  </si>
  <si>
    <t>2026-10-09T11:44:22.172293+02:00</t>
  </si>
  <si>
    <t>2026-10-09T09:44:22.172293+00:00</t>
  </si>
  <si>
    <t>2026-10-09T11:44:42.185720+02:00</t>
  </si>
  <si>
    <t>2026-10-09T09:44:42.185720+00:00</t>
  </si>
  <si>
    <t>2026-10-09T11:45:02.199736+02:00</t>
  </si>
  <si>
    <t>2026-10-09T09:45:02.199736+00:00</t>
  </si>
  <si>
    <t>2026-10-09T11:45:22.213146+02:00</t>
  </si>
  <si>
    <t>2026-10-09T09:45:22.213146+00:00</t>
  </si>
  <si>
    <t>2026-10-09T11:45:42.226624+02:00</t>
  </si>
  <si>
    <t>2026-10-09T09:45:42.226624+00:00</t>
  </si>
  <si>
    <t>2026-10-09T11:46:02.239794+02:00</t>
  </si>
  <si>
    <t>2026-10-09T09:46:02.239794+00:00</t>
  </si>
  <si>
    <t>2026-10-09T11:46:22.254479+02:00</t>
  </si>
  <si>
    <t>2026-10-09T09:46:22.254479+00:00</t>
  </si>
  <si>
    <t>2026-10-09T11:46:42.267848+02:00</t>
  </si>
  <si>
    <t>2026-10-09T09:46:42.267848+00:00</t>
  </si>
  <si>
    <t>2026-10-09T11:47:02.281500+02:00</t>
  </si>
  <si>
    <t>2026-10-09T09:47:02.281500+00:00</t>
  </si>
  <si>
    <t>2026-10-09T11:47:22.294846+02:00</t>
  </si>
  <si>
    <t>2026-10-09T09:47:22.294846+00:00</t>
  </si>
  <si>
    <t>2026-10-09T11:47:42.308246+02:00</t>
  </si>
  <si>
    <t>2026-10-09T09:47:42.308246+00:00</t>
  </si>
  <si>
    <t>2026-10-09T11:48:02.321608+02:00</t>
  </si>
  <si>
    <t>2026-10-09T09:48:02.321608+00:00</t>
  </si>
  <si>
    <t>2026-10-09T11:48:22.334814+02:00</t>
  </si>
  <si>
    <t>2026-10-09T09:48:22.334814+00:00</t>
  </si>
  <si>
    <t>2026-10-09T11:48:42.348610+02:00</t>
  </si>
  <si>
    <t>2026-10-09T09:48:42.348610+00:00</t>
  </si>
  <si>
    <t>2026-10-09T11:49:02.362196+02:00</t>
  </si>
  <si>
    <t>2026-10-09T09:49:02.362196+00:00</t>
  </si>
  <si>
    <t>2026-10-09T11:49:22.375508+02:00</t>
  </si>
  <si>
    <t>2026-10-09T09:49:22.375508+00:00</t>
  </si>
  <si>
    <t>2026-10-09T11:49:42.389162+02:00</t>
  </si>
  <si>
    <t>2026-10-09T09:49:42.389162+00:00</t>
  </si>
  <si>
    <t>2026-10-09T11:50:02.403719+02:00</t>
  </si>
  <si>
    <t>2026-10-09T09:50:02.403719+00:00</t>
  </si>
  <si>
    <t>2026-10-09T11:50:22.417457+02:00</t>
  </si>
  <si>
    <t>2026-10-09T09:50:22.417457+00:00</t>
  </si>
  <si>
    <t>2026-10-09T11:50:42.430816+02:00</t>
  </si>
  <si>
    <t>2026-10-09T09:50:42.430816+00:00</t>
  </si>
  <si>
    <t>2026-10-09T11:51:02.444261+02:00</t>
  </si>
  <si>
    <t>2026-10-09T09:51:02.444261+00:00</t>
  </si>
  <si>
    <t>2026-10-09T11:51:22.457472+02:00</t>
  </si>
  <si>
    <t>2026-10-09T09:51:22.457472+00:00</t>
  </si>
  <si>
    <t>2026-10-09T11:51:42.470909+02:00</t>
  </si>
  <si>
    <t>2026-10-09T09:51:42.470909+00:00</t>
  </si>
  <si>
    <t>2026-10-09T11:52:02.484471+02:00</t>
  </si>
  <si>
    <t>2026-10-09T09:52:02.484471+00:00</t>
  </si>
  <si>
    <t>2026-10-09T11:52:22.497771+02:00</t>
  </si>
  <si>
    <t>2026-10-09T09:52:22.497771+00:00</t>
  </si>
  <si>
    <t>2026-10-09T11:52:42.511283+02:00</t>
  </si>
  <si>
    <t>2026-10-09T09:52:42.511283+00:00</t>
  </si>
  <si>
    <t>2026-10-09T11:53:02.525245+02:00</t>
  </si>
  <si>
    <t>2026-10-09T09:53:02.525245+00:00</t>
  </si>
  <si>
    <t>2026-10-09T11:53:22.538879+02:00</t>
  </si>
  <si>
    <t>2026-10-09T09:53:22.538879+00:00</t>
  </si>
  <si>
    <t>2026-10-09T11:53:42.552363+02:00</t>
  </si>
  <si>
    <t>2026-10-09T09:53:42.552363+00:00</t>
  </si>
  <si>
    <t>2026-10-09T11:54:02.566001+02:00</t>
  </si>
  <si>
    <t>2026-10-09T09:54:02.566001+00:00</t>
  </si>
  <si>
    <t>2026-10-09T11:54:22.579582+02:00</t>
  </si>
  <si>
    <t>2026-10-09T09:54:22.579582+00:00</t>
  </si>
  <si>
    <t>2026-10-09T11:54:42.592961+02:00</t>
  </si>
  <si>
    <t>2026-10-09T09:54:42.592961+00:00</t>
  </si>
  <si>
    <t>2026-10-09T11:55:02.606250+02:00</t>
  </si>
  <si>
    <t>2026-10-09T09:55:02.606250+00:00</t>
  </si>
  <si>
    <t>2026-10-09T11:55:22.619669+02:00</t>
  </si>
  <si>
    <t>2026-10-09T09:55:22.619669+00:00</t>
  </si>
  <si>
    <t>2026-10-09T11:55:42.633060+02:00</t>
  </si>
  <si>
    <t>2026-10-09T09:55:42.633060+00:00</t>
  </si>
  <si>
    <t>2026-10-09T11:56:02.646232+02:00</t>
  </si>
  <si>
    <t>2026-10-09T09:56:02.646232+00:00</t>
  </si>
  <si>
    <t>2026-10-09T11:56:22.659914+02:00</t>
  </si>
  <si>
    <t>2026-10-09T09:56:22.659914+00:00</t>
  </si>
  <si>
    <t>2026-10-09T11:56:42.673262+02:00</t>
  </si>
  <si>
    <t>2026-10-09T09:56:42.673262+00:00</t>
  </si>
  <si>
    <t>2026-10-09T11:57:02.687736+02:00</t>
  </si>
  <si>
    <t>2026-10-09T09:57:02.687736+00:00</t>
  </si>
  <si>
    <t>2026-10-09T11:57:22.701161+02:00</t>
  </si>
  <si>
    <t>2026-10-09T09:57:22.701161+00:00</t>
  </si>
  <si>
    <t>2026-10-09T11:57:42.714759+02:00</t>
  </si>
  <si>
    <t>2026-10-09T09:57:42.714759+00:00</t>
  </si>
  <si>
    <t>2026-10-09T11:58:02.728077+02:00</t>
  </si>
  <si>
    <t>2026-10-09T09:58:02.728077+00:00</t>
  </si>
  <si>
    <t>2026-10-09T11:58:22.741577+02:00</t>
  </si>
  <si>
    <t>2026-10-09T09:58:22.741577+00:00</t>
  </si>
  <si>
    <t>2026-10-09T11:58:42.754938+02:00</t>
  </si>
  <si>
    <t>2026-10-09T09:58:42.754938+00:00</t>
  </si>
  <si>
    <t>2026-10-09T11:59:02.768770+02:00</t>
  </si>
  <si>
    <t>2026-10-09T09:59:02.768770+00:00</t>
  </si>
  <si>
    <t>2026-10-09T11:59:22.782543+02:00</t>
  </si>
  <si>
    <t>2026-10-09T09:59:22.782543+00:00</t>
  </si>
  <si>
    <t>2026-10-09T11:59:42.796327+02:00</t>
  </si>
  <si>
    <t>2026-10-09T09:59:42.796327+00:00</t>
  </si>
  <si>
    <t>2026-10-09T12:00:02.809601+02:00</t>
  </si>
  <si>
    <t>2026-10-09T10:00:02.809601+00:00</t>
  </si>
  <si>
    <t>2026-10-09T12:00:22.823226+02:00</t>
  </si>
  <si>
    <t>2026-10-09T10:00:22.823226+00:00</t>
  </si>
  <si>
    <t>2026-10-09T12:00:42.836486+02:00</t>
  </si>
  <si>
    <t>2026-10-09T10:00:42.836486+00:00</t>
  </si>
  <si>
    <t>2026-10-09T12:01:02.849836+02:00</t>
  </si>
  <si>
    <t>2026-10-09T10:01:02.849836+00:00</t>
  </si>
  <si>
    <t>2026-10-09T12:01:22.863474+02:00</t>
  </si>
  <si>
    <t>2026-10-09T10:01:22.863474+00:00</t>
  </si>
  <si>
    <t>2026-10-09T12:01:42.876841+02:00</t>
  </si>
  <si>
    <t>2026-10-09T10:01:42.876841+00:00</t>
  </si>
  <si>
    <t>2026-10-09T12:02:02.890817+02:00</t>
  </si>
  <si>
    <t>2026-10-09T10:02:02.890817+00:00</t>
  </si>
  <si>
    <t>2026-10-09T12:02:22.904995+02:00</t>
  </si>
  <si>
    <t>2026-10-09T10:02:22.904995+00:00</t>
  </si>
  <si>
    <t>2026-10-09T12:02:42.918217+02:00</t>
  </si>
  <si>
    <t>2026-10-09T10:02:42.918217+00:00</t>
  </si>
  <si>
    <t>2026-10-09T12:03:02.931745+02:00</t>
  </si>
  <si>
    <t>2026-10-09T10:03:02.931745+00:00</t>
  </si>
  <si>
    <t>2026-10-09T12:03:22.945153+02:00</t>
  </si>
  <si>
    <t>2026-10-09T10:03:22.945153+00:00</t>
  </si>
  <si>
    <t>2026-10-09T12:03:42.959087+02:00</t>
  </si>
  <si>
    <t>2026-10-09T10:03:42.959087+00:00</t>
  </si>
  <si>
    <t>2026-10-09T12:04:02.972460+02:00</t>
  </si>
  <si>
    <t>2026-10-09T10:04:02.972460+00:00</t>
  </si>
  <si>
    <t>2026-10-09T12:04:22.986288+02:00</t>
  </si>
  <si>
    <t>2026-10-09T10:04:22.986288+00:00</t>
  </si>
  <si>
    <t>2026-10-09T12:04:42.999508+02:00</t>
  </si>
  <si>
    <t>2026-10-09T10:04:42.999508+00:00</t>
  </si>
  <si>
    <t>2026-10-09T12:05:03.013495+02:00</t>
  </si>
  <si>
    <t>2026-10-09T10:05:03.013495+00:00</t>
  </si>
  <si>
    <t>2026-10-09T12:05:23.026919+02:00</t>
  </si>
  <si>
    <t>2026-10-09T10:05:23.026919+00:00</t>
  </si>
  <si>
    <t>2026-10-09T12:05:43.040576+02:00</t>
  </si>
  <si>
    <t>2026-10-09T10:05:43.040576+00:00</t>
  </si>
  <si>
    <t>2026-10-09T12:06:03.054088+02:00</t>
  </si>
  <si>
    <t>2026-10-09T10:06:03.054088+00:00</t>
  </si>
  <si>
    <t>2026-10-09T12:06:23.067037+02:00</t>
  </si>
  <si>
    <t>2026-10-09T10:06:23.067037+00:00</t>
  </si>
  <si>
    <t>2026-10-09T12:06:43.080943+02:00</t>
  </si>
  <si>
    <t>2026-10-09T10:06:43.080943+00:00</t>
  </si>
  <si>
    <t>2026-10-09T12:07:03.094737+02:00</t>
  </si>
  <si>
    <t>2026-10-09T10:07:03.094737+00:00</t>
  </si>
  <si>
    <t>2026-10-09T12:07:23.108459+02:00</t>
  </si>
  <si>
    <t>2026-10-09T10:07:23.108459+00:00</t>
  </si>
  <si>
    <t>2026-10-09T12:07:43.121853+02:00</t>
  </si>
  <si>
    <t>2026-10-09T10:07:43.121853+00:00</t>
  </si>
  <si>
    <t>2026-10-09T12:08:03.135232+02:00</t>
  </si>
  <si>
    <t>2026-10-09T10:08:03.135232+00:00</t>
  </si>
  <si>
    <t>2026-10-09T12:08:23.148962+02:00</t>
  </si>
  <si>
    <t>2026-10-09T10:08:23.148962+00:00</t>
  </si>
  <si>
    <t>2026-10-09T12:08:43.162334+02:00</t>
  </si>
  <si>
    <t>2026-10-09T10:08:43.162334+00:00</t>
  </si>
  <si>
    <t>2026-10-09T12:09:03.175854+02:00</t>
  </si>
  <si>
    <t>2026-10-09T10:09:03.175854+00:00</t>
  </si>
  <si>
    <t>2026-10-09T12:09:23.189319+02:00</t>
  </si>
  <si>
    <t>2026-10-09T10:09:23.189319+00:00</t>
  </si>
  <si>
    <t>2026-10-09T12:09:43.202660+02:00</t>
  </si>
  <si>
    <t>2026-10-09T10:09:43.202660+00:00</t>
  </si>
  <si>
    <t>2026-10-09T12:10:03.215892+02:00</t>
  </si>
  <si>
    <t>2026-10-09T10:10:03.215892+00:00</t>
  </si>
  <si>
    <t>2026-10-09T12:10:23.229585+02:00</t>
  </si>
  <si>
    <t>2026-10-09T10:10:23.229585+00:00</t>
  </si>
  <si>
    <t>2026-10-09T12:10:43.242846+02:00</t>
  </si>
  <si>
    <t>2026-10-09T10:10:43.242846+00:00</t>
  </si>
  <si>
    <t>2026-10-09T12:11:03.256657+02:00</t>
  </si>
  <si>
    <t>2026-10-09T10:11:03.256657+00:00</t>
  </si>
  <si>
    <t>2026-10-09T12:11:23.270048+02:00</t>
  </si>
  <si>
    <t>2026-10-09T10:11:23.270048+00:00</t>
  </si>
  <si>
    <t>2026-10-09T12:11:43.283718+02:00</t>
  </si>
  <si>
    <t>2026-10-09T10:11:43.283718+00:00</t>
  </si>
  <si>
    <t>2026-10-09T12:12:03.296996+02:00</t>
  </si>
  <si>
    <t>2026-10-09T10:12:03.296996+00:00</t>
  </si>
  <si>
    <t>2026-10-09T12:12:23.310622+02:00</t>
  </si>
  <si>
    <t>2026-10-09T10:12:23.310622+00:00</t>
  </si>
  <si>
    <t>2026-10-09T12:12:43.323817+02:00</t>
  </si>
  <si>
    <t>2026-10-09T10:12:43.323817+00:00</t>
  </si>
  <si>
    <t>2026-10-09T12:13:03.337683+02:00</t>
  </si>
  <si>
    <t>2026-10-09T10:13:03.337683+00:00</t>
  </si>
  <si>
    <t>2026-10-09T12:13:23.350633+02:00</t>
  </si>
  <si>
    <t>2026-10-09T10:13:23.350633+00:00</t>
  </si>
  <si>
    <t>2026-10-09T12:13:43.364895+02:00</t>
  </si>
  <si>
    <t>2026-10-09T10:13:43.364895+00:00</t>
  </si>
  <si>
    <t>2026-10-09T12:14:03.378331+02:00</t>
  </si>
  <si>
    <t>2026-10-09T10:14:03.378331+00:00</t>
  </si>
  <si>
    <t>2026-10-09T12:14:23.391604+02:00</t>
  </si>
  <si>
    <t>2026-10-09T10:14:23.391604+00:00</t>
  </si>
  <si>
    <t>2026-10-09T12:14:43.405004+02:00</t>
  </si>
  <si>
    <t>2026-10-09T10:14:43.405004+00:00</t>
  </si>
  <si>
    <t>2026-10-09T12:15:03.418982+02:00</t>
  </si>
  <si>
    <t>2026-10-09T10:15:03.418982+00:00</t>
  </si>
  <si>
    <t>2026-10-09T12:15:23.432435+02:00</t>
  </si>
  <si>
    <t>2026-10-09T10:15:23.432435+00:00</t>
  </si>
  <si>
    <t>2026-10-09T12:15:43.445806+02:00</t>
  </si>
  <si>
    <t>2026-10-09T10:15:43.445806+00:00</t>
  </si>
  <si>
    <t>2026-10-09T12:16:03.459207+02:00</t>
  </si>
  <si>
    <t>2026-10-09T10:16:03.459207+00:00</t>
  </si>
  <si>
    <t>2026-10-09T12:16:23.472853+02:00</t>
  </si>
  <si>
    <t>2026-10-09T10:16:23.472853+00:00</t>
  </si>
  <si>
    <t>2026-10-09T12:16:43.486669+02:00</t>
  </si>
  <si>
    <t>2026-10-09T10:16:43.486669+00:00</t>
  </si>
  <si>
    <t>2026-10-09T12:17:03.500144+02:00</t>
  </si>
  <si>
    <t>2026-10-09T10:17:03.500144+00:00</t>
  </si>
  <si>
    <t>2026-10-09T12:17:23.514538+02:00</t>
  </si>
  <si>
    <t>2026-10-09T10:17:23.514538+00:00</t>
  </si>
  <si>
    <t>2026-10-09T12:17:43.527989+02:00</t>
  </si>
  <si>
    <t>2026-10-09T10:17:43.527989+00:00</t>
  </si>
  <si>
    <t>2026-10-09T12:18:03.541250+02:00</t>
  </si>
  <si>
    <t>2026-10-09T10:18:03.541250+00:00</t>
  </si>
  <si>
    <t>2026-10-09T12:18:23.554786+02:00</t>
  </si>
  <si>
    <t>2026-10-09T10:18:23.554786+00:00</t>
  </si>
  <si>
    <t>2026-10-09T12:18:43.568150+02:00</t>
  </si>
  <si>
    <t>2026-10-09T10:18:43.568150+00:00</t>
  </si>
  <si>
    <t>2026-10-09T12:19:03.582402+02:00</t>
  </si>
  <si>
    <t>2026-10-09T10:19:03.582402+00:00</t>
  </si>
  <si>
    <t>2026-10-09T12:19:23.595669+02:00</t>
  </si>
  <si>
    <t>2026-10-09T10:19:23.595669+00:00</t>
  </si>
  <si>
    <t>2026-10-09T12:19:43.609438+02:00</t>
  </si>
  <si>
    <t>2026-10-09T10:19:43.609438+00:00</t>
  </si>
  <si>
    <t>2026-10-09T12:20:03.622942+02:00</t>
  </si>
  <si>
    <t>2026-10-09T10:20:03.622942+00:00</t>
  </si>
  <si>
    <t>2026-10-09T12:20:23.637441+02:00</t>
  </si>
  <si>
    <t>2026-10-09T10:20:23.637441+00:00</t>
  </si>
  <si>
    <t>2026-10-09T12:20:43.650992+02:00</t>
  </si>
  <si>
    <t>2026-10-09T10:20:43.650992+00:00</t>
  </si>
  <si>
    <t>2026-10-09T12:21:03.664363+02:00</t>
  </si>
  <si>
    <t>2026-10-09T10:21:03.664363+00:00</t>
  </si>
  <si>
    <t>2026-10-09T12:21:23.678494+02:00</t>
  </si>
  <si>
    <t>2026-10-09T10:21:23.678494+00:00</t>
  </si>
  <si>
    <t>2026-10-09T12:21:43.691802+02:00</t>
  </si>
  <si>
    <t>2026-10-09T10:21:43.691802+00:00</t>
  </si>
  <si>
    <t>2026-10-09T12:22:03.705493+02:00</t>
  </si>
  <si>
    <t>2026-10-09T10:22:03.705493+00:00</t>
  </si>
  <si>
    <t>2026-10-09T12:22:23.718841+02:00</t>
  </si>
  <si>
    <t>2026-10-09T10:22:23.718841+00:00</t>
  </si>
  <si>
    <t>2026-10-09T12:22:43.732294+02:00</t>
  </si>
  <si>
    <t>2026-10-09T10:22:43.732294+00:00</t>
  </si>
  <si>
    <t>2026-10-09T12:23:03.745992+02:00</t>
  </si>
  <si>
    <t>2026-10-09T10:23:03.745992+00:00</t>
  </si>
  <si>
    <t>2026-10-09T12:23:23.759359+02:00</t>
  </si>
  <si>
    <t>2026-10-09T10:23:23.759359+00:00</t>
  </si>
  <si>
    <t>2026-10-09T12:23:43.773341+02:00</t>
  </si>
  <si>
    <t>2026-10-09T10:23:43.773341+00:00</t>
  </si>
  <si>
    <t>2026-10-09T12:24:03.786794+02:00</t>
  </si>
  <si>
    <t>2026-10-09T10:24:03.786794+00:00</t>
  </si>
  <si>
    <t>2026-10-09T12:24:23.800248+02:00</t>
  </si>
  <si>
    <t>2026-10-09T10:24:23.800248+00:00</t>
  </si>
  <si>
    <t>2026-10-09T12:24:43.813632+02:00</t>
  </si>
  <si>
    <t>2026-10-09T10:24:43.813632+00:00</t>
  </si>
  <si>
    <t>2026-10-09T12:25:03.826953+02:00</t>
  </si>
  <si>
    <t>2026-10-09T10:25:03.826953+00:00</t>
  </si>
  <si>
    <t>2026-10-09T12:25:23.840856+02:00</t>
  </si>
  <si>
    <t>2026-10-09T10:25:23.840856+00:00</t>
  </si>
  <si>
    <t>2026-10-09T12:25:43.854368+02:00</t>
  </si>
  <si>
    <t>2026-10-09T10:25:43.854368+00:00</t>
  </si>
  <si>
    <t>2026-10-09T12:26:03.868099+02:00</t>
  </si>
  <si>
    <t>2026-10-09T10:26:03.868099+00:00</t>
  </si>
  <si>
    <t>2026-10-09T12:26:23.882642+02:00</t>
  </si>
  <si>
    <t>2026-10-09T10:26:23.882642+00:00</t>
  </si>
  <si>
    <t>2026-10-09T12:26:43.896001+02:00</t>
  </si>
  <si>
    <t>2026-10-09T10:26:43.896001+00:00</t>
  </si>
  <si>
    <t>2026-10-09T12:27:03.909441+02:00</t>
  </si>
  <si>
    <t>2026-10-09T10:27:03.909441+00:00</t>
  </si>
  <si>
    <t>2026-10-09T12:27:23.922864+02:00</t>
  </si>
  <si>
    <t>2026-10-09T10:27:23.922864+00:00</t>
  </si>
  <si>
    <t>2026-10-09T12:27:43.936131+02:00</t>
  </si>
  <si>
    <t>2026-10-09T10:27:43.936131+00:00</t>
  </si>
  <si>
    <t>2026-10-09T12:28:03.949449+02:00</t>
  </si>
  <si>
    <t>2026-10-09T10:28:03.949449+00:00</t>
  </si>
  <si>
    <t>2026-10-09T12:28:23.962047+02:00</t>
  </si>
  <si>
    <t>2026-10-09T10:28:23.962047+00:00</t>
  </si>
  <si>
    <t>2026-10-09T12:28:43.976108+02:00</t>
  </si>
  <si>
    <t>2026-10-09T10:28:43.976108+00:00</t>
  </si>
  <si>
    <t>2026-10-09T12:29:03.989705+02:00</t>
  </si>
  <si>
    <t>2026-10-09T10:29:03.989705+00:00</t>
  </si>
  <si>
    <t>2026-10-09T12:29:24.002537+02:00</t>
  </si>
  <si>
    <t>2026-10-09T10:29:24.002537+00:00</t>
  </si>
  <si>
    <t>2026-10-09T12:29:44.016704+02:00</t>
  </si>
  <si>
    <t>2026-10-09T10:29:44.016704+00:00</t>
  </si>
  <si>
    <t>2026-10-09T12:30:04.030258+02:00</t>
  </si>
  <si>
    <t>2026-10-09T10:30:04.030258+00:00</t>
  </si>
  <si>
    <t>2026-10-09T12:30:24.043958+02:00</t>
  </si>
  <si>
    <t>2026-10-09T10:30:24.043958+00:00</t>
  </si>
  <si>
    <t>2026-10-09T12:30:44.057216+02:00</t>
  </si>
  <si>
    <t>2026-10-09T10:30:44.057216+00:00</t>
  </si>
  <si>
    <t>2026-10-09T12:31:04.071102+02:00</t>
  </si>
  <si>
    <t>2026-10-09T10:31:04.071102+00:00</t>
  </si>
  <si>
    <t>2026-10-09T12:31:24.084526+02:00</t>
  </si>
  <si>
    <t>2026-10-09T10:31:24.084526+00:00</t>
  </si>
  <si>
    <t>2026-10-09T12:31:44.098011+02:00</t>
  </si>
  <si>
    <t>2026-10-09T10:31:44.098011+00:00</t>
  </si>
  <si>
    <t>2026-10-09T12:32:04.111350+02:00</t>
  </si>
  <si>
    <t>2026-10-09T10:32:04.111350+00:00</t>
  </si>
  <si>
    <t>2026-10-09T12:32:24.125396+02:00</t>
  </si>
  <si>
    <t>2026-10-09T10:32:24.125396+00:00</t>
  </si>
  <si>
    <t>2026-10-09T12:32:44.138694+02:00</t>
  </si>
  <si>
    <t>2026-10-09T10:32:44.138694+00:00</t>
  </si>
  <si>
    <t>2026-10-09T12:33:04.152364+02:00</t>
  </si>
  <si>
    <t>2026-10-09T10:33:04.152364+00:00</t>
  </si>
  <si>
    <t>2026-10-09T12:33:24.165757+02:00</t>
  </si>
  <si>
    <t>2026-10-09T10:33:24.165757+00:00</t>
  </si>
  <si>
    <t>2026-10-09T12:33:44.179206+02:00</t>
  </si>
  <si>
    <t>2026-10-09T10:33:44.179206+00:00</t>
  </si>
  <si>
    <t>2026-10-09T12:34:04.192520+02:00</t>
  </si>
  <si>
    <t>2026-10-09T10:34:04.192520+00:00</t>
  </si>
  <si>
    <t>2026-10-09T12:34:24.205960+02:00</t>
  </si>
  <si>
    <t>2026-10-09T10:34:24.205960+00:00</t>
  </si>
  <si>
    <t>2026-10-09T12:34:44.219249+02:00</t>
  </si>
  <si>
    <t>2026-10-09T10:34:44.219249+00:00</t>
  </si>
  <si>
    <t>2026-10-09T12:35:04.233022+02:00</t>
  </si>
  <si>
    <t>2026-10-09T10:35:04.233022+00:00</t>
  </si>
  <si>
    <t>2026-10-09T12:35:24.246284+02:00</t>
  </si>
  <si>
    <t>2026-10-09T10:35:24.246284+00:00</t>
  </si>
  <si>
    <t>2026-10-09T12:35:44.260355+02:00</t>
  </si>
  <si>
    <t>2026-10-09T10:35:44.260355+00:00</t>
  </si>
  <si>
    <t>2026-10-09T12:36:04.273508+02:00</t>
  </si>
  <si>
    <t>2026-10-09T10:36:04.273508+00:00</t>
  </si>
  <si>
    <t>2026-10-09T12:36:24.287063+02:00</t>
  </si>
  <si>
    <t>2026-10-09T10:36:24.287063+00:00</t>
  </si>
  <si>
    <t>2026-10-09T12:36:44.300604+02:00</t>
  </si>
  <si>
    <t>2026-10-09T10:36:44.300604+00:00</t>
  </si>
  <si>
    <t>2026-10-09T12:37:04.314043+02:00</t>
  </si>
  <si>
    <t>2026-10-09T10:37:04.314043+00:00</t>
  </si>
  <si>
    <t>2026-10-09T12:37:24.327352+02:00</t>
  </si>
  <si>
    <t>2026-10-09T10:37:24.327352+00:00</t>
  </si>
  <si>
    <t>2026-10-09T12:37:44.340777+02:00</t>
  </si>
  <si>
    <t>2026-10-09T10:37:44.340777+00:00</t>
  </si>
  <si>
    <t>2026-10-09T12:38:04.354133+02:00</t>
  </si>
  <si>
    <t>2026-10-09T10:38:04.354133+00:00</t>
  </si>
  <si>
    <t>2026-10-09T12:38:24.367538+02:00</t>
  </si>
  <si>
    <t>2026-10-09T10:38:24.367538+00:00</t>
  </si>
  <si>
    <t>2026-10-09T12:38:44.380936+02:00</t>
  </si>
  <si>
    <t>2026-10-09T10:38:44.380936+00:00</t>
  </si>
  <si>
    <t>2026-10-09T12:39:04.394640+02:00</t>
  </si>
  <si>
    <t>2026-10-09T10:39:04.394640+00:00</t>
  </si>
  <si>
    <t>2026-10-09T12:39:24.407936+02:00</t>
  </si>
  <si>
    <t>2026-10-09T10:39:24.407936+00:00</t>
  </si>
  <si>
    <t>2026-10-09T12:39:44.421308+02:00</t>
  </si>
  <si>
    <t>2026-10-09T10:39:44.421308+00:00</t>
  </si>
  <si>
    <t>2026-10-09T12:40:04.434691+02:00</t>
  </si>
  <si>
    <t>2026-10-09T10:40:04.434691+00:00</t>
  </si>
  <si>
    <t>2026-10-09T12:40:24.448272+02:00</t>
  </si>
  <si>
    <t>2026-10-09T10:40:24.448272+00:00</t>
  </si>
  <si>
    <t>2026-10-09T12:40:44.461581+02:00</t>
  </si>
  <si>
    <t>2026-10-09T10:40:44.461581+00:00</t>
  </si>
  <si>
    <t>2026-10-09T12:41:04.475045+02:00</t>
  </si>
  <si>
    <t>2026-10-09T10:41:04.475045+00:00</t>
  </si>
  <si>
    <t>2026-10-09T12:41:24.488717+02:00</t>
  </si>
  <si>
    <t>2026-10-09T10:41:24.488717+00:00</t>
  </si>
  <si>
    <t>2026-10-09T12:41:44.502191+02:00</t>
  </si>
  <si>
    <t>2026-10-09T10:41:44.502191+00:00</t>
  </si>
  <si>
    <t>2026-10-09T12:42:04.515350+02:00</t>
  </si>
  <si>
    <t>2026-10-09T10:42:04.515350+00:00</t>
  </si>
  <si>
    <t>2026-10-09T12:42:24.528620+02:00</t>
  </si>
  <si>
    <t>2026-10-09T10:42:24.528620+00:00</t>
  </si>
  <si>
    <t>2026-10-09T12:42:44.541797+02:00</t>
  </si>
  <si>
    <t>2026-10-09T10:42:44.541797+00:00</t>
  </si>
  <si>
    <t>2026-10-09T12:43:04.555420+02:00</t>
  </si>
  <si>
    <t>2026-10-09T10:43:04.555420+00:00</t>
  </si>
  <si>
    <t>2026-10-09T12:43:24.568791+02:00</t>
  </si>
  <si>
    <t>2026-10-09T10:43:24.568791+00:00</t>
  </si>
  <si>
    <t>2026-10-09T12:43:44.582609+02:00</t>
  </si>
  <si>
    <t>2026-10-09T10:43:44.582609+00:00</t>
  </si>
  <si>
    <t>2026-10-09T12:44:04.595939+02:00</t>
  </si>
  <si>
    <t>2026-10-09T10:44:04.595939+00:00</t>
  </si>
  <si>
    <t>2026-10-09T12:44:24.609766+02:00</t>
  </si>
  <si>
    <t>2026-10-09T10:44:24.609766+00:00</t>
  </si>
  <si>
    <t>2026-10-09T12:44:44.623340+02:00</t>
  </si>
  <si>
    <t>2026-10-09T10:44:44.623340+00:00</t>
  </si>
  <si>
    <t>2026-10-09T12:45:04.636672+02:00</t>
  </si>
  <si>
    <t>2026-10-09T10:45:04.636672+00:00</t>
  </si>
  <si>
    <t>2026-10-09T12:45:24.650177+02:00</t>
  </si>
  <si>
    <t>2026-10-09T10:45:24.650177+00:00</t>
  </si>
  <si>
    <t>2026-10-09T12:45:44.663236+02:00</t>
  </si>
  <si>
    <t>2026-10-09T10:45:44.663236+00:00</t>
  </si>
  <si>
    <t>2026-10-09T12:46:04.677139+02:00</t>
  </si>
  <si>
    <t>2026-10-09T10:46:04.677139+00:00</t>
  </si>
  <si>
    <t>2026-10-09T12:46:24.690736+02:00</t>
  </si>
  <si>
    <t>2026-10-09T10:46:24.690736+00:00</t>
  </si>
  <si>
    <t>2026-10-09T12:46:44.704064+02:00</t>
  </si>
  <si>
    <t>2026-10-09T10:46:44.704064+00:00</t>
  </si>
  <si>
    <t>2026-10-09T12:47:04.717642+02:00</t>
  </si>
  <si>
    <t>2026-10-09T10:47:04.717642+00:00</t>
  </si>
  <si>
    <t>2026-10-09T12:47:24.730950+02:00</t>
  </si>
  <si>
    <t>2026-10-09T10:47:24.730950+00:00</t>
  </si>
  <si>
    <t>2026-10-09T12:47:44.744214+02:00</t>
  </si>
  <si>
    <t>2026-10-09T10:47:44.744214+00:00</t>
  </si>
  <si>
    <t>2026-10-09T12:48:04.757549+02:00</t>
  </si>
  <si>
    <t>2026-10-09T10:48:04.757549+00:00</t>
  </si>
  <si>
    <t>2026-10-09T12:48:24.770968+02:00</t>
  </si>
  <si>
    <t>2026-10-09T10:48:24.770968+00:00</t>
  </si>
  <si>
    <t>2026-10-09T12:48:44.784459+02:00</t>
  </si>
  <si>
    <t>2026-10-09T10:48:44.784459+00:00</t>
  </si>
  <si>
    <t>2026-10-09T12:49:04.797799+02:00</t>
  </si>
  <si>
    <t>2026-10-09T10:49:04.797799+00:00</t>
  </si>
  <si>
    <t>2026-10-09T12:49:24.811128+02:00</t>
  </si>
  <si>
    <t>2026-10-09T10:49:24.811128+00:00</t>
  </si>
  <si>
    <t>2026-10-09T12:49:44.824312+02:00</t>
  </si>
  <si>
    <t>2026-10-09T10:49:44.824312+00:00</t>
  </si>
  <si>
    <t>2026-10-09T12:50:04.837458+02:00</t>
  </si>
  <si>
    <t>2026-10-09T10:50:04.837458+00:00</t>
  </si>
  <si>
    <t>2026-10-09T12:50:24.850818+02:00</t>
  </si>
  <si>
    <t>2026-10-09T10:50:24.850818+00:00</t>
  </si>
  <si>
    <t>2026-10-09T12:50:44.864316+02:00</t>
  </si>
  <si>
    <t>2026-10-09T10:50:44.864316+00:00</t>
  </si>
  <si>
    <t>2026-10-09T12:51:04.877690+02:00</t>
  </si>
  <si>
    <t>2026-10-09T10:51:04.877690+00:00</t>
  </si>
  <si>
    <t>2026-10-09T12:51:24.891158+02:00</t>
  </si>
  <si>
    <t>2026-10-09T10:51:24.891158+00:00</t>
  </si>
  <si>
    <t>2026-10-09T12:51:44.904570+02:00</t>
  </si>
  <si>
    <t>2026-10-09T10:51:44.904570+00:00</t>
  </si>
  <si>
    <t>2026-10-09T12:52:04.917848+02:00</t>
  </si>
  <si>
    <t>2026-10-09T10:52:04.917848+00:00</t>
  </si>
  <si>
    <t>2026-10-09T12:52:24.931554+02:00</t>
  </si>
  <si>
    <t>2026-10-09T10:52:24.931554+00:00</t>
  </si>
  <si>
    <t>2026-10-09T12:52:44.944738+02:00</t>
  </si>
  <si>
    <t>2026-10-09T10:52:44.944738+00:00</t>
  </si>
  <si>
    <t>2026-10-09T12:53:04.958017+02:00</t>
  </si>
  <si>
    <t>2026-10-09T10:53:04.958017+00:00</t>
  </si>
  <si>
    <t>2026-10-09T12:53:24.971568+02:00</t>
  </si>
  <si>
    <t>2026-10-09T10:53:24.971568+00:00</t>
  </si>
  <si>
    <t>2026-10-09T12:53:44.985279+02:00</t>
  </si>
  <si>
    <t>2026-10-09T10:53:44.985279+00:00</t>
  </si>
  <si>
    <t>2026-10-09T12:54:04.998555+02:00</t>
  </si>
  <si>
    <t>2026-10-09T10:54:04.998555+00:00</t>
  </si>
  <si>
    <t>2026-10-09T12:54:25.011625+02:00</t>
  </si>
  <si>
    <t>2026-10-09T10:54:25.011625+00:00</t>
  </si>
  <si>
    <t>2026-10-09T12:54:45.025452+02:00</t>
  </si>
  <si>
    <t>2026-10-09T10:54:45.025452+00:00</t>
  </si>
  <si>
    <t>2026-10-09T12:55:05.038735+02:00</t>
  </si>
  <si>
    <t>2026-10-09T10:55:05.038735+00:00</t>
  </si>
  <si>
    <t>2026-10-09T12:55:25.052165+02:00</t>
  </si>
  <si>
    <t>2026-10-09T10:55:25.052165+00:00</t>
  </si>
  <si>
    <t>2026-10-09T12:55:45.065481+02:00</t>
  </si>
  <si>
    <t>2026-10-09T10:55:45.065481+00:00</t>
  </si>
  <si>
    <t>2026-10-09T12:56:05.078957+02:00</t>
  </si>
  <si>
    <t>2026-10-09T10:56:05.078957+00:00</t>
  </si>
  <si>
    <t>2026-10-09T12:56:25.092462+02:00</t>
  </si>
  <si>
    <t>2026-10-09T10:56:25.092462+00:00</t>
  </si>
  <si>
    <t>2026-10-09T12:56:45.106053+02:00</t>
  </si>
  <si>
    <t>2026-10-09T10:56:45.106053+00:00</t>
  </si>
  <si>
    <t>2026-10-09T12:57:05.119426+02:00</t>
  </si>
  <si>
    <t>2026-10-09T10:57:05.119426+00:00</t>
  </si>
  <si>
    <t>2026-10-09T12:57:25.133047+02:00</t>
  </si>
  <si>
    <t>2026-10-09T10:57:25.133047+00:00</t>
  </si>
  <si>
    <t>2026-10-09T12:57:45.146457+02:00</t>
  </si>
  <si>
    <t>2026-10-09T10:57:45.146457+00:00</t>
  </si>
  <si>
    <t>2026-10-09T12:58:05.159818+02:00</t>
  </si>
  <si>
    <t>2026-10-09T10:58:05.159818+00:00</t>
  </si>
  <si>
    <t>2026-10-09T12:58:25.173257+02:00</t>
  </si>
  <si>
    <t>2026-10-09T10:58:25.173257+00:00</t>
  </si>
  <si>
    <t>2026-10-09T12:58:45.187363+02:00</t>
  </si>
  <si>
    <t>2026-10-09T10:58:45.187363+00:00</t>
  </si>
  <si>
    <t>2026-10-09T12:59:05.200150+02:00</t>
  </si>
  <si>
    <t>2026-10-09T10:59:05.200150+00:00</t>
  </si>
  <si>
    <t>2026-10-09T12:59:25.214335+02:00</t>
  </si>
  <si>
    <t>2026-10-09T10:59:25.214335+00:00</t>
  </si>
  <si>
    <t>2026-10-09T12:59:45.227614+02:00</t>
  </si>
  <si>
    <t>2026-10-09T10:59:45.227614+00:00</t>
  </si>
  <si>
    <t>2026-10-09T13:00:05.241653+02:00</t>
  </si>
  <si>
    <t>2026-10-09T11:00:05.241653+00:00</t>
  </si>
  <si>
    <t>2026-10-09T13:00:25.254854+02:00</t>
  </si>
  <si>
    <t>2026-10-09T11:00:25.254854+00:00</t>
  </si>
  <si>
    <t>2026-10-09T13:00:45.268211+02:00</t>
  </si>
  <si>
    <t>2026-10-09T11:00:45.268211+00:00</t>
  </si>
  <si>
    <t>2026-10-09T13:01:05.281863+02:00</t>
  </si>
  <si>
    <t>2026-10-09T11:01:05.281863+00:00</t>
  </si>
  <si>
    <t>2026-10-09T13:01:25.295286+02:00</t>
  </si>
  <si>
    <t>2026-10-09T11:01:25.295286+00:00</t>
  </si>
  <si>
    <t>2026-10-09T13:01:45.309063+02:00</t>
  </si>
  <si>
    <t>2026-10-09T11:01:45.309063+00:00</t>
  </si>
  <si>
    <t>2026-10-09T13:02:05.322390+02:00</t>
  </si>
  <si>
    <t>2026-10-09T11:02:05.322390+00:00</t>
  </si>
  <si>
    <t>2026-10-09T13:02:25.336743+02:00</t>
  </si>
  <si>
    <t>2026-10-09T11:02:25.336743+00:00</t>
  </si>
  <si>
    <t>2026-10-09T13:02:45.350059+02:00</t>
  </si>
  <si>
    <t>2026-10-09T11:02:45.350059+00:00</t>
  </si>
  <si>
    <t>2026-10-09T13:03:05.363345+02:00</t>
  </si>
  <si>
    <t>2026-10-09T11:03:05.363345+00:00</t>
  </si>
  <si>
    <t>2026-10-09T13:03:25.376872+02:00</t>
  </si>
  <si>
    <t>2026-10-09T11:03:25.376872+00:00</t>
  </si>
  <si>
    <t>2026-10-09T13:03:45.390367+02:00</t>
  </si>
  <si>
    <t>2026-10-09T11:03:45.390367+00:00</t>
  </si>
  <si>
    <t>2026-10-09T13:04:05.404467+02:00</t>
  </si>
  <si>
    <t>2026-10-09T11:04:05.404467+00:00</t>
  </si>
  <si>
    <t>2026-10-09T13:04:25.417668+02:00</t>
  </si>
  <si>
    <t>2026-10-09T11:04:25.417668+00:00</t>
  </si>
  <si>
    <t>2026-10-09T13:04:45.430521+02:00</t>
  </si>
  <si>
    <t>2026-10-09T11:04:45.430521+00:00</t>
  </si>
  <si>
    <t>2026-10-09T13:05:05.444603+02:00</t>
  </si>
  <si>
    <t>2026-10-09T11:05:05.444603+00:00</t>
  </si>
  <si>
    <t>2026-10-09T13:05:25.458370+02:00</t>
  </si>
  <si>
    <t>2026-10-09T11:05:25.458370+00:00</t>
  </si>
  <si>
    <t>2026-10-09T13:05:45.471659+02:00</t>
  </si>
  <si>
    <t>2026-10-09T11:05:45.471659+00:00</t>
  </si>
  <si>
    <t>2026-10-09T13:06:05.485116+02:00</t>
  </si>
  <si>
    <t>2026-10-09T11:06:05.485116+00:00</t>
  </si>
  <si>
    <t>2026-10-09T13:06:25.499356+02:00</t>
  </si>
  <si>
    <t>2026-10-09T11:06:25.499356+00:00</t>
  </si>
  <si>
    <t>2026-10-09T13:06:45.512778+02:00</t>
  </si>
  <si>
    <t>2026-10-09T11:06:45.512778+00:00</t>
  </si>
  <si>
    <t>2026-10-09T13:07:05.526413+02:00</t>
  </si>
  <si>
    <t>2026-10-09T11:07:05.526413+00:00</t>
  </si>
  <si>
    <t>2026-10-09T13:07:25.539837+02:00</t>
  </si>
  <si>
    <t>2026-10-09T11:07:25.539837+00:00</t>
  </si>
  <si>
    <t>2026-10-09T13:07:45.553292+02:00</t>
  </si>
  <si>
    <t>2026-10-09T11:07:45.553292+00:00</t>
  </si>
  <si>
    <t>2026-10-09T13:08:05.568101+02:00</t>
  </si>
  <si>
    <t>2026-10-09T11:08:05.568101+00:00</t>
  </si>
  <si>
    <t>2026-10-09T13:08:25.581443+02:00</t>
  </si>
  <si>
    <t>2026-10-09T11:08:25.581443+00:00</t>
  </si>
  <si>
    <t>2026-10-09T13:08:45.595491+02:00</t>
  </si>
  <si>
    <t>2026-10-09T11:08:45.595491+00:00</t>
  </si>
  <si>
    <t>2026-10-09T13:09:05.608802+02:00</t>
  </si>
  <si>
    <t>2026-10-09T11:09:05.608802+00:00</t>
  </si>
  <si>
    <t>2026-10-09T13:09:25.622157+02:00</t>
  </si>
  <si>
    <t>2026-10-09T11:09:25.622157+00:00</t>
  </si>
  <si>
    <t>2026-10-09T13:09:45.635176+02:00</t>
  </si>
  <si>
    <t>2026-10-09T11:09:45.635176+00:00</t>
  </si>
  <si>
    <t>2026-10-09T13:10:05.647688+02:00</t>
  </si>
  <si>
    <t>2026-10-09T11:10:05.647688+00:00</t>
  </si>
  <si>
    <t>2026-10-09T13:10:25.661466+02:00</t>
  </si>
  <si>
    <t>2026-10-09T11:10:25.661466+00:00</t>
  </si>
  <si>
    <t>2026-10-09T13:10:45.675176+02:00</t>
  </si>
  <si>
    <t>2026-10-09T11:10:45.675176+00:00</t>
  </si>
  <si>
    <t>2026-10-09T13:11:05.688616+02:00</t>
  </si>
  <si>
    <t>2026-10-09T11:11:05.688616+00:00</t>
  </si>
  <si>
    <t>2026-10-09T13:11:25.701777+02:00</t>
  </si>
  <si>
    <t>2026-10-09T11:11:25.701777+00:00</t>
  </si>
  <si>
    <t>2026-10-09T13:11:45.715314+02:00</t>
  </si>
  <si>
    <t>2026-10-09T11:11:45.715314+00:00</t>
  </si>
  <si>
    <t>2026-10-09T13:12:05.728724+02:00</t>
  </si>
  <si>
    <t>2026-10-09T11:12:05.728724+00:00</t>
  </si>
  <si>
    <t>2026-10-09T11:12:25.742104+00:00</t>
  </si>
  <si>
    <t>timestamp_sast</t>
  </si>
  <si>
    <t>timestamp_utc</t>
  </si>
  <si>
    <t>temperature_c</t>
  </si>
  <si>
    <t>humidity_pct</t>
  </si>
  <si>
    <t>pressure_hpa</t>
  </si>
  <si>
    <t>light_lux</t>
  </si>
  <si>
    <t>pm1_0</t>
  </si>
  <si>
    <t>pm2_5</t>
  </si>
  <si>
    <t>pm10</t>
  </si>
  <si>
    <t>oxidising_raw</t>
  </si>
  <si>
    <t>reducing_raw</t>
  </si>
  <si>
    <t>nh3_raw</t>
  </si>
  <si>
    <t>oxidising_index</t>
  </si>
  <si>
    <t>reducing_index</t>
  </si>
  <si>
    <t>nh3_index</t>
  </si>
  <si>
    <t>co_index</t>
  </si>
  <si>
    <t>no2_index</t>
  </si>
  <si>
    <t>stable</t>
  </si>
  <si>
    <t>falling</t>
  </si>
  <si>
    <t>rising</t>
  </si>
  <si>
    <t>oxidising_index_trend</t>
  </si>
  <si>
    <t>reducing_index_trend</t>
  </si>
  <si>
    <t>nh3_index_trend</t>
  </si>
  <si>
    <t>co_index_trend</t>
  </si>
  <si>
    <t>no2_index_trend</t>
  </si>
  <si>
    <t>Measurement</t>
  </si>
  <si>
    <t>Count</t>
  </si>
  <si>
    <t>Mean</t>
  </si>
  <si>
    <t>Minimum</t>
  </si>
  <si>
    <t>Maximum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</si>
</sst>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7"/>
      <color rgb="FF17365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erimentReadings" displayName="ExperimentReadings" ref="A1:Q399" totalsRowShown="0">
  <autoFilter ref="A1:Q399"/>
  <tableColumns count="17">
    <tableColumn id="1" name="timestamp_sast"/>
    <tableColumn id="2" name="timestamp_utc"/>
    <tableColumn id="3" name="temperature_c"/>
    <tableColumn id="4" name="humidity_pct"/>
    <tableColumn id="5" name="pressure_hpa"/>
    <tableColumn id="6" name="light_lux"/>
    <tableColumn id="7" name="pm1_0"/>
    <tableColumn id="8" name="pm2_5"/>
    <tableColumn id="9" name="pm10"/>
    <tableColumn id="10" name="oxidising_raw"/>
    <tableColumn id="11" name="reducing_raw"/>
    <tableColumn id="12" name="nh3_raw"/>
    <tableColumn id="13" name="oxidising_index"/>
    <tableColumn id="14" name="reducing_index"/>
    <tableColumn id="15" name="nh3_index"/>
    <tableColumn id="16" name="co_index"/>
    <tableColumn id="17" name="no2_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asTrends" displayName="GasTrends" ref="A1:K399" totalsRowShown="0">
  <autoFilter ref="A1:K399"/>
  <tableColumns count="11">
    <tableColumn id="1" name="timestamp_sast"/>
    <tableColumn id="2" name="oxidising_index"/>
    <tableColumn id="3" name="reducing_index"/>
    <tableColumn id="4" name="nh3_index"/>
    <tableColumn id="5" name="co_index"/>
    <tableColumn id="6" name="no2_index"/>
    <tableColumn id="7" name="oxidising_index_trend"/>
    <tableColumn id="8" name="reducing_index_trend"/>
    <tableColumn id="9" name="nh3_index_trend"/>
    <tableColumn id="10" name="co_index_trend"/>
    <tableColumn id="11" name="no2_index_tr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5"/>
  <cols>
    <col min="1" max="1" width="26.7109375" customWidth="1"/>
    <col min="2" max="5" width="18.7109375" customWidth="1"/>
  </cols>
  <sheetData>
    <row r="1" spans="1:5">
      <c r="A1" s="1" t="s">
        <v>0</v>
      </c>
    </row>
    <row r="3" spans="1:5">
      <c r="A3" t="s">
        <v>1</v>
      </c>
      <c r="B3" t="s">
        <v>2</v>
      </c>
    </row>
    <row r="4" spans="1:5">
      <c r="A4" t="s">
        <v>3</v>
      </c>
      <c r="B4" t="s">
        <v>4</v>
      </c>
    </row>
    <row r="5" spans="1:5">
      <c r="A5" t="s">
        <v>5</v>
      </c>
      <c r="B5">
        <v>398</v>
      </c>
    </row>
    <row r="6" spans="1:5">
      <c r="A6" t="s">
        <v>6</v>
      </c>
      <c r="B6" t="s">
        <v>7</v>
      </c>
    </row>
    <row r="8" spans="1:5">
      <c r="A8" t="s">
        <v>8</v>
      </c>
    </row>
    <row r="10" spans="1:5">
      <c r="A10" s="2" t="s">
        <v>828</v>
      </c>
      <c r="B10" s="2" t="s">
        <v>829</v>
      </c>
      <c r="C10" s="2" t="s">
        <v>830</v>
      </c>
      <c r="D10" s="2" t="s">
        <v>831</v>
      </c>
      <c r="E10" s="2" t="s">
        <v>832</v>
      </c>
    </row>
    <row r="11" spans="1:5">
      <c r="A11" t="s">
        <v>805</v>
      </c>
      <c r="B11">
        <f>COUNT(ExperimentReadings[temperature_c])</f>
        <v>398</v>
      </c>
      <c r="C11" s="3">
        <f>IF(COUNT(ExperimentReadings[temperature_c])=0,"",ROUND(AVERAGE(ExperimentReadings[temperature_c]),3))</f>
        <v>33.211</v>
      </c>
      <c r="D11" s="3">
        <f>IF(COUNT(ExperimentReadings[temperature_c])=0,"",MIN(ExperimentReadings[temperature_c]))</f>
        <v>7.55</v>
      </c>
      <c r="E11" s="3">
        <f>IF(COUNT(ExperimentReadings[temperature_c])=0,"",MAX(ExperimentReadings[temperature_c]))</f>
        <v>61.33</v>
      </c>
    </row>
    <row r="12" spans="1:5">
      <c r="A12" t="s">
        <v>806</v>
      </c>
      <c r="B12">
        <f>COUNT(ExperimentReadings[humidity_pct])</f>
        <v>398</v>
      </c>
      <c r="C12" s="3">
        <f>IF(COUNT(ExperimentReadings[humidity_pct])=0,"",ROUND(AVERAGE(ExperimentReadings[humidity_pct]),3))</f>
        <v>3.093</v>
      </c>
      <c r="D12" s="3">
        <f>IF(COUNT(ExperimentReadings[humidity_pct])=0,"",MIN(ExperimentReadings[humidity_pct]))</f>
        <v>0.0</v>
      </c>
      <c r="E12" s="3">
        <f>IF(COUNT(ExperimentReadings[humidity_pct])=0,"",MAX(ExperimentReadings[humidity_pct]))</f>
        <v>38.4</v>
      </c>
    </row>
    <row r="13" spans="1:5">
      <c r="A13" t="s">
        <v>807</v>
      </c>
      <c r="B13">
        <f>COUNT(ExperimentReadings[pressure_hpa])</f>
        <v>398</v>
      </c>
      <c r="C13" s="3">
        <f>IF(COUNT(ExperimentReadings[pressure_hpa])=0,"",ROUND(AVERAGE(ExperimentReadings[pressure_hpa]),3))</f>
        <v>291.401</v>
      </c>
      <c r="D13" s="3">
        <f>IF(COUNT(ExperimentReadings[pressure_hpa])=0,"",MIN(ExperimentReadings[pressure_hpa]))</f>
        <v>19.22</v>
      </c>
      <c r="E13" s="3">
        <f>IF(COUNT(ExperimentReadings[pressure_hpa])=0,"",MAX(ExperimentReadings[pressure_hpa]))</f>
        <v>863.75</v>
      </c>
    </row>
    <row r="14" spans="1:5">
      <c r="A14" t="s">
        <v>808</v>
      </c>
      <c r="B14">
        <f>COUNT(ExperimentReadings[light_lux])</f>
        <v>398</v>
      </c>
      <c r="C14" s="3">
        <f>IF(COUNT(ExperimentReadings[light_lux])=0,"",ROUND(AVERAGE(ExperimentReadings[light_lux]),3))</f>
        <v>64.874</v>
      </c>
      <c r="D14" s="3">
        <f>IF(COUNT(ExperimentReadings[light_lux])=0,"",MIN(ExperimentReadings[light_lux]))</f>
        <v>25.72</v>
      </c>
      <c r="E14" s="3">
        <f>IF(COUNT(ExperimentReadings[light_lux])=0,"",MAX(ExperimentReadings[light_lux]))</f>
        <v>164.68</v>
      </c>
    </row>
    <row r="15" spans="1:5">
      <c r="A15" t="s">
        <v>809</v>
      </c>
      <c r="B15">
        <f>COUNT(ExperimentReadings[pm1_0])</f>
        <v>398</v>
      </c>
      <c r="C15" s="3">
        <f>IF(COUNT(ExperimentReadings[pm1_0])=0,"",ROUND(AVERAGE(ExperimentReadings[pm1_0]),3))</f>
        <v>0.221</v>
      </c>
      <c r="D15" s="3">
        <f>IF(COUNT(ExperimentReadings[pm1_0])=0,"",MIN(ExperimentReadings[pm1_0]))</f>
        <v>0.0</v>
      </c>
      <c r="E15" s="3">
        <f>IF(COUNT(ExperimentReadings[pm1_0])=0,"",MAX(ExperimentReadings[pm1_0]))</f>
        <v>1.0</v>
      </c>
    </row>
    <row r="16" spans="1:5">
      <c r="A16" t="s">
        <v>810</v>
      </c>
      <c r="B16">
        <f>COUNT(ExperimentReadings[pm2_5])</f>
        <v>398</v>
      </c>
      <c r="C16" s="3">
        <f>IF(COUNT(ExperimentReadings[pm2_5])=0,"",ROUND(AVERAGE(ExperimentReadings[pm2_5]),3))</f>
        <v>0.824</v>
      </c>
      <c r="D16" s="3">
        <f>IF(COUNT(ExperimentReadings[pm2_5])=0,"",MIN(ExperimentReadings[pm2_5]))</f>
        <v>0.0</v>
      </c>
      <c r="E16" s="3">
        <f>IF(COUNT(ExperimentReadings[pm2_5])=0,"",MAX(ExperimentReadings[pm2_5]))</f>
        <v>3.0</v>
      </c>
    </row>
    <row r="17" spans="1:5">
      <c r="A17" t="s">
        <v>811</v>
      </c>
      <c r="B17">
        <f>COUNT(ExperimentReadings[pm10])</f>
        <v>398</v>
      </c>
      <c r="C17" s="3">
        <f>IF(COUNT(ExperimentReadings[pm10])=0,"",ROUND(AVERAGE(ExperimentReadings[pm10]),3))</f>
        <v>1.116</v>
      </c>
      <c r="D17" s="3">
        <f>IF(COUNT(ExperimentReadings[pm10])=0,"",MIN(ExperimentReadings[pm10]))</f>
        <v>0.0</v>
      </c>
      <c r="E17" s="3">
        <f>IF(COUNT(ExperimentReadings[pm10])=0,"",MAX(ExperimentReadings[pm10]))</f>
        <v>4.0</v>
      </c>
    </row>
    <row r="18" spans="1:5">
      <c r="A18" t="s">
        <v>812</v>
      </c>
      <c r="B18">
        <f>COUNT(ExperimentReadings[oxidising_raw])</f>
        <v>398</v>
      </c>
      <c r="C18" s="3">
        <f>IF(COUNT(ExperimentReadings[oxidising_raw])=0,"",ROUND(AVERAGE(ExperimentReadings[oxidising_raw]),3))</f>
        <v>12223.411</v>
      </c>
      <c r="D18" s="3">
        <f>IF(COUNT(ExperimentReadings[oxidising_raw])=0,"",MIN(ExperimentReadings[oxidising_raw]))</f>
        <v>3922.18</v>
      </c>
      <c r="E18" s="3">
        <f>IF(COUNT(ExperimentReadings[oxidising_raw])=0,"",MAX(ExperimentReadings[oxidising_raw]))</f>
        <v>47878.58</v>
      </c>
    </row>
    <row r="19" spans="1:5">
      <c r="A19" t="s">
        <v>813</v>
      </c>
      <c r="B19">
        <f>COUNT(ExperimentReadings[reducing_raw])</f>
        <v>398</v>
      </c>
      <c r="C19" s="3">
        <f>IF(COUNT(ExperimentReadings[reducing_raw])=0,"",ROUND(AVERAGE(ExperimentReadings[reducing_raw]),3))</f>
        <v>145448.213</v>
      </c>
      <c r="D19" s="3">
        <f>IF(COUNT(ExperimentReadings[reducing_raw])=0,"",MIN(ExperimentReadings[reducing_raw]))</f>
        <v>71272.73</v>
      </c>
      <c r="E19" s="3">
        <f>IF(COUNT(ExperimentReadings[reducing_raw])=0,"",MAX(ExperimentReadings[reducing_raw]))</f>
        <v>432888.89</v>
      </c>
    </row>
    <row r="20" spans="1:5">
      <c r="A20" t="s">
        <v>814</v>
      </c>
      <c r="B20">
        <f>COUNT(ExperimentReadings[nh3_raw])</f>
        <v>398</v>
      </c>
      <c r="C20" s="3">
        <f>IF(COUNT(ExperimentReadings[nh3_raw])=0,"",ROUND(AVERAGE(ExperimentReadings[nh3_raw]),3))</f>
        <v>51831.211</v>
      </c>
      <c r="D20" s="3">
        <f>IF(COUNT(ExperimentReadings[nh3_raw])=0,"",MIN(ExperimentReadings[nh3_raw]))</f>
        <v>6985.69</v>
      </c>
      <c r="E20" s="3">
        <f>IF(COUNT(ExperimentReadings[nh3_raw])=0,"",MAX(ExperimentReadings[nh3_raw]))</f>
        <v>331421.38</v>
      </c>
    </row>
    <row r="21" spans="1:5">
      <c r="A21" t="s">
        <v>815</v>
      </c>
      <c r="B21">
        <f>COUNT(ExperimentReadings[oxidising_index])</f>
        <v>398</v>
      </c>
      <c r="C21" s="3">
        <f>IF(COUNT(ExperimentReadings[oxidising_index])=0,"",ROUND(AVERAGE(ExperimentReadings[oxidising_index]),3))</f>
        <v>11.014</v>
      </c>
      <c r="D21" s="3">
        <f>IF(COUNT(ExperimentReadings[oxidising_index])=0,"",MIN(ExperimentReadings[oxidising_index]))</f>
        <v>0.0</v>
      </c>
      <c r="E21" s="3">
        <f>IF(COUNT(ExperimentReadings[oxidising_index])=0,"",MAX(ExperimentReadings[oxidising_index]))</f>
        <v>100.0</v>
      </c>
    </row>
    <row r="22" spans="1:5">
      <c r="A22" t="s">
        <v>816</v>
      </c>
      <c r="B22">
        <f>COUNT(ExperimentReadings[reducing_index])</f>
        <v>398</v>
      </c>
      <c r="C22" s="3">
        <f>IF(COUNT(ExperimentReadings[reducing_index])=0,"",ROUND(AVERAGE(ExperimentReadings[reducing_index]),3))</f>
        <v>37.578</v>
      </c>
      <c r="D22" s="3">
        <f>IF(COUNT(ExperimentReadings[reducing_index])=0,"",MIN(ExperimentReadings[reducing_index]))</f>
        <v>0.0</v>
      </c>
      <c r="E22" s="3">
        <f>IF(COUNT(ExperimentReadings[reducing_index])=0,"",MAX(ExperimentReadings[reducing_index]))</f>
        <v>64.4</v>
      </c>
    </row>
    <row r="23" spans="1:5">
      <c r="A23" t="s">
        <v>817</v>
      </c>
      <c r="B23">
        <f>COUNT(ExperimentReadings[nh3_index])</f>
        <v>398</v>
      </c>
      <c r="C23" s="3">
        <f>IF(COUNT(ExperimentReadings[nh3_index])=0,"",ROUND(AVERAGE(ExperimentReadings[nh3_index]),3))</f>
        <v>76.066</v>
      </c>
      <c r="D23" s="3">
        <f>IF(COUNT(ExperimentReadings[nh3_index])=0,"",MIN(ExperimentReadings[nh3_index]))</f>
        <v>0.0</v>
      </c>
      <c r="E23" s="3">
        <f>IF(COUNT(ExperimentReadings[nh3_index])=0,"",MAX(ExperimentReadings[nh3_index]))</f>
        <v>96.5</v>
      </c>
    </row>
    <row r="24" spans="1:5">
      <c r="A24" t="s">
        <v>818</v>
      </c>
      <c r="B24">
        <f>COUNT(ExperimentReadings[co_index])</f>
        <v>398</v>
      </c>
      <c r="C24" s="3">
        <f>IF(COUNT(ExperimentReadings[co_index])=0,"",ROUND(AVERAGE(ExperimentReadings[co_index]),3))</f>
        <v>37.578</v>
      </c>
      <c r="D24" s="3">
        <f>IF(COUNT(ExperimentReadings[co_index])=0,"",MIN(ExperimentReadings[co_index]))</f>
        <v>0.0</v>
      </c>
      <c r="E24" s="3">
        <f>IF(COUNT(ExperimentReadings[co_index])=0,"",MAX(ExperimentReadings[co_index]))</f>
        <v>64.4</v>
      </c>
    </row>
    <row r="25" spans="1:5">
      <c r="A25" t="s">
        <v>819</v>
      </c>
      <c r="B25">
        <f>COUNT(ExperimentReadings[no2_index])</f>
        <v>398</v>
      </c>
      <c r="C25" s="3">
        <f>IF(COUNT(ExperimentReadings[no2_index])=0,"",ROUND(AVERAGE(ExperimentReadings[no2_index]),3))</f>
        <v>11.014</v>
      </c>
      <c r="D25" s="3">
        <f>IF(COUNT(ExperimentReadings[no2_index])=0,"",MIN(ExperimentReadings[no2_index]))</f>
        <v>0.0</v>
      </c>
      <c r="E25" s="3">
        <f>IF(COUNT(ExperimentReadings[no2_index])=0,"",MAX(ExperimentReadings[no2_index]))</f>
        <v>100.0</v>
      </c>
    </row>
  </sheetData>
  <mergeCells count="4">
    <mergeCell ref="B3:E3"/>
    <mergeCell ref="B4:E4"/>
    <mergeCell ref="B6:E6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36.7109375" customWidth="1"/>
    <col min="3" max="17" width="18.7109375" customWidth="1"/>
  </cols>
  <sheetData>
    <row r="1" spans="1:17">
      <c r="A1" t="s">
        <v>803</v>
      </c>
      <c r="B1" t="s">
        <v>804</v>
      </c>
      <c r="C1" t="s">
        <v>805</v>
      </c>
      <c r="D1" t="s">
        <v>806</v>
      </c>
      <c r="E1" t="s">
        <v>807</v>
      </c>
      <c r="F1" t="s">
        <v>808</v>
      </c>
      <c r="G1" t="s">
        <v>809</v>
      </c>
      <c r="H1" t="s">
        <v>810</v>
      </c>
      <c r="I1" t="s">
        <v>811</v>
      </c>
      <c r="J1" t="s">
        <v>812</v>
      </c>
      <c r="K1" t="s">
        <v>813</v>
      </c>
      <c r="L1" t="s">
        <v>814</v>
      </c>
      <c r="M1" t="s">
        <v>815</v>
      </c>
      <c r="N1" t="s">
        <v>816</v>
      </c>
      <c r="O1" t="s">
        <v>817</v>
      </c>
      <c r="P1" t="s">
        <v>818</v>
      </c>
      <c r="Q1" t="s">
        <v>819</v>
      </c>
    </row>
    <row r="2" spans="1:17">
      <c r="A2" t="s">
        <v>2</v>
      </c>
      <c r="B2" t="s">
        <v>9</v>
      </c>
      <c r="C2" s="3">
        <v>57.83</v>
      </c>
      <c r="D2" s="3">
        <v>12.53</v>
      </c>
      <c r="E2" s="3">
        <v>863.75</v>
      </c>
      <c r="F2" s="3">
        <v>32.06</v>
      </c>
      <c r="G2" s="3">
        <v>1</v>
      </c>
      <c r="H2" s="3">
        <v>1</v>
      </c>
      <c r="I2" s="3">
        <v>1</v>
      </c>
      <c r="J2" s="3">
        <v>3922.18</v>
      </c>
      <c r="K2" s="3">
        <v>84639.27</v>
      </c>
      <c r="L2" s="3">
        <v>7050.15</v>
      </c>
      <c r="M2" s="3">
        <v>0</v>
      </c>
      <c r="N2" s="3">
        <v>57.7</v>
      </c>
      <c r="O2" s="3">
        <v>96.5</v>
      </c>
      <c r="P2" s="3">
        <v>57.7</v>
      </c>
      <c r="Q2" s="3">
        <v>0</v>
      </c>
    </row>
    <row r="3" spans="1:17">
      <c r="A3" t="s">
        <v>10</v>
      </c>
      <c r="B3" t="s">
        <v>11</v>
      </c>
      <c r="C3" s="3">
        <v>57.91</v>
      </c>
      <c r="D3" s="3">
        <v>12.03</v>
      </c>
      <c r="E3" s="3">
        <v>863.65</v>
      </c>
      <c r="F3" s="3">
        <v>47.05</v>
      </c>
      <c r="G3" s="3">
        <v>1</v>
      </c>
      <c r="H3" s="3">
        <v>1</v>
      </c>
      <c r="I3" s="3">
        <v>1</v>
      </c>
      <c r="J3" s="3">
        <v>4038.99</v>
      </c>
      <c r="K3" s="3">
        <v>94980.39</v>
      </c>
      <c r="L3" s="3">
        <v>7702.17</v>
      </c>
      <c r="M3" s="3">
        <v>0</v>
      </c>
      <c r="N3" s="3">
        <v>52.5</v>
      </c>
      <c r="O3" s="3">
        <v>96.09999999999999</v>
      </c>
      <c r="P3" s="3">
        <v>52.5</v>
      </c>
      <c r="Q3" s="3">
        <v>0</v>
      </c>
    </row>
    <row r="4" spans="1:17">
      <c r="A4" t="s">
        <v>12</v>
      </c>
      <c r="B4" t="s">
        <v>13</v>
      </c>
      <c r="C4" s="3">
        <v>57.98</v>
      </c>
      <c r="D4" s="3">
        <v>12.19</v>
      </c>
      <c r="E4" s="3">
        <v>863.7</v>
      </c>
      <c r="F4" s="3">
        <v>50.84</v>
      </c>
      <c r="G4" s="3">
        <v>1</v>
      </c>
      <c r="H4" s="3">
        <v>1</v>
      </c>
      <c r="I4" s="3">
        <v>1</v>
      </c>
      <c r="J4" s="3">
        <v>3922.18</v>
      </c>
      <c r="K4" s="3">
        <v>85935.48</v>
      </c>
      <c r="L4" s="3">
        <v>7050.15</v>
      </c>
      <c r="M4" s="3">
        <v>0</v>
      </c>
      <c r="N4" s="3">
        <v>57</v>
      </c>
      <c r="O4" s="3">
        <v>96.5</v>
      </c>
      <c r="P4" s="3">
        <v>57</v>
      </c>
      <c r="Q4" s="3">
        <v>0</v>
      </c>
    </row>
    <row r="5" spans="1:17">
      <c r="A5" t="s">
        <v>14</v>
      </c>
      <c r="B5" t="s">
        <v>15</v>
      </c>
      <c r="C5" s="3">
        <v>57.97</v>
      </c>
      <c r="D5" s="3">
        <v>10.17</v>
      </c>
      <c r="E5" s="3">
        <v>862.11</v>
      </c>
      <c r="F5" s="3">
        <v>59.2</v>
      </c>
      <c r="G5" s="3">
        <v>0</v>
      </c>
      <c r="H5" s="3">
        <v>1</v>
      </c>
      <c r="I5" s="3">
        <v>1</v>
      </c>
      <c r="J5" s="3">
        <v>4273.97</v>
      </c>
      <c r="K5" s="3">
        <v>119000</v>
      </c>
      <c r="L5" s="3">
        <v>8910.43</v>
      </c>
      <c r="M5" s="3">
        <v>0</v>
      </c>
      <c r="N5" s="3">
        <v>40.5</v>
      </c>
      <c r="O5" s="3">
        <v>95.5</v>
      </c>
      <c r="P5" s="3">
        <v>40.5</v>
      </c>
      <c r="Q5" s="3">
        <v>0</v>
      </c>
    </row>
    <row r="6" spans="1:17">
      <c r="A6" t="s">
        <v>16</v>
      </c>
      <c r="B6" t="s">
        <v>17</v>
      </c>
      <c r="C6" s="3">
        <v>58.61</v>
      </c>
      <c r="D6" s="3">
        <v>10.58</v>
      </c>
      <c r="E6" s="3">
        <v>855.89</v>
      </c>
      <c r="F6" s="3">
        <v>85.03</v>
      </c>
      <c r="G6" s="3">
        <v>0</v>
      </c>
      <c r="H6" s="3">
        <v>1</v>
      </c>
      <c r="I6" s="3">
        <v>1</v>
      </c>
      <c r="J6" s="3">
        <v>4038.99</v>
      </c>
      <c r="K6" s="3">
        <v>90318.28999999999</v>
      </c>
      <c r="L6" s="3">
        <v>7244.35</v>
      </c>
      <c r="M6" s="3">
        <v>0</v>
      </c>
      <c r="N6" s="3">
        <v>54.8</v>
      </c>
      <c r="O6" s="3">
        <v>96.40000000000001</v>
      </c>
      <c r="P6" s="3">
        <v>54.8</v>
      </c>
      <c r="Q6" s="3">
        <v>0</v>
      </c>
    </row>
    <row r="7" spans="1:17">
      <c r="A7" t="s">
        <v>18</v>
      </c>
      <c r="B7" t="s">
        <v>19</v>
      </c>
      <c r="C7" s="3">
        <v>59.19</v>
      </c>
      <c r="D7" s="3">
        <v>9.890000000000001</v>
      </c>
      <c r="E7" s="3">
        <v>851.67</v>
      </c>
      <c r="F7" s="3">
        <v>52.44</v>
      </c>
      <c r="G7" s="3">
        <v>0</v>
      </c>
      <c r="H7" s="3">
        <v>1</v>
      </c>
      <c r="I7" s="3">
        <v>1</v>
      </c>
      <c r="J7" s="3">
        <v>3980.53</v>
      </c>
      <c r="K7" s="3">
        <v>88262.3</v>
      </c>
      <c r="L7" s="3">
        <v>6985.69</v>
      </c>
      <c r="M7" s="3">
        <v>0</v>
      </c>
      <c r="N7" s="3">
        <v>55.9</v>
      </c>
      <c r="O7" s="3">
        <v>96.5</v>
      </c>
      <c r="P7" s="3">
        <v>55.9</v>
      </c>
      <c r="Q7" s="3">
        <v>0</v>
      </c>
    </row>
    <row r="8" spans="1:17">
      <c r="A8" t="s">
        <v>20</v>
      </c>
      <c r="B8" t="s">
        <v>21</v>
      </c>
      <c r="C8" s="3">
        <v>59.77</v>
      </c>
      <c r="D8" s="3">
        <v>9.02</v>
      </c>
      <c r="E8" s="3">
        <v>846.1900000000001</v>
      </c>
      <c r="F8" s="3">
        <v>90.66</v>
      </c>
      <c r="G8" s="3">
        <v>1</v>
      </c>
      <c r="H8" s="3">
        <v>2</v>
      </c>
      <c r="I8" s="3">
        <v>2</v>
      </c>
      <c r="J8" s="3">
        <v>3980.53</v>
      </c>
      <c r="K8" s="3">
        <v>88941.17999999999</v>
      </c>
      <c r="L8" s="3">
        <v>6985.69</v>
      </c>
      <c r="M8" s="3">
        <v>0</v>
      </c>
      <c r="N8" s="3">
        <v>55.5</v>
      </c>
      <c r="O8" s="3">
        <v>96.5</v>
      </c>
      <c r="P8" s="3">
        <v>55.5</v>
      </c>
      <c r="Q8" s="3">
        <v>0</v>
      </c>
    </row>
    <row r="9" spans="1:17">
      <c r="A9" t="s">
        <v>22</v>
      </c>
      <c r="B9" t="s">
        <v>23</v>
      </c>
      <c r="C9" s="3">
        <v>60.24</v>
      </c>
      <c r="D9" s="3">
        <v>8.460000000000001</v>
      </c>
      <c r="E9" s="3">
        <v>839.3200000000001</v>
      </c>
      <c r="F9" s="3">
        <v>77.51000000000001</v>
      </c>
      <c r="G9" s="3">
        <v>1</v>
      </c>
      <c r="H9" s="3">
        <v>2</v>
      </c>
      <c r="I9" s="3">
        <v>2</v>
      </c>
      <c r="J9" s="3">
        <v>3980.53</v>
      </c>
      <c r="K9" s="3">
        <v>88600.94</v>
      </c>
      <c r="L9" s="3">
        <v>6985.69</v>
      </c>
      <c r="M9" s="3">
        <v>0</v>
      </c>
      <c r="N9" s="3">
        <v>55.7</v>
      </c>
      <c r="O9" s="3">
        <v>96.5</v>
      </c>
      <c r="P9" s="3">
        <v>55.7</v>
      </c>
      <c r="Q9" s="3">
        <v>0</v>
      </c>
    </row>
    <row r="10" spans="1:17">
      <c r="A10" t="s">
        <v>24</v>
      </c>
      <c r="B10" t="s">
        <v>25</v>
      </c>
      <c r="C10" s="3">
        <v>60.56</v>
      </c>
      <c r="D10" s="3">
        <v>7.32</v>
      </c>
      <c r="E10" s="3">
        <v>831.65</v>
      </c>
      <c r="F10" s="3">
        <v>50.37</v>
      </c>
      <c r="G10" s="3">
        <v>1</v>
      </c>
      <c r="H10" s="3">
        <v>2</v>
      </c>
      <c r="I10" s="3">
        <v>2</v>
      </c>
      <c r="J10" s="3">
        <v>4273.97</v>
      </c>
      <c r="K10" s="3">
        <v>98385.96000000001</v>
      </c>
      <c r="L10" s="3">
        <v>7966.77</v>
      </c>
      <c r="M10" s="3">
        <v>0</v>
      </c>
      <c r="N10" s="3">
        <v>50.8</v>
      </c>
      <c r="O10" s="3">
        <v>96</v>
      </c>
      <c r="P10" s="3">
        <v>50.8</v>
      </c>
      <c r="Q10" s="3">
        <v>0</v>
      </c>
    </row>
    <row r="11" spans="1:17">
      <c r="A11" t="s">
        <v>26</v>
      </c>
      <c r="B11" t="s">
        <v>27</v>
      </c>
      <c r="C11" s="3">
        <v>60.71</v>
      </c>
      <c r="D11" s="3">
        <v>6.39</v>
      </c>
      <c r="E11" s="3">
        <v>822.62</v>
      </c>
      <c r="F11" s="3">
        <v>42.84</v>
      </c>
      <c r="G11" s="3">
        <v>1</v>
      </c>
      <c r="H11" s="3">
        <v>2</v>
      </c>
      <c r="I11" s="3">
        <v>2</v>
      </c>
      <c r="J11" s="3">
        <v>4570.3</v>
      </c>
      <c r="K11" s="3">
        <v>141435.9</v>
      </c>
      <c r="L11" s="3">
        <v>10094.42</v>
      </c>
      <c r="M11" s="3">
        <v>0</v>
      </c>
      <c r="N11" s="3">
        <v>29.3</v>
      </c>
      <c r="O11" s="3">
        <v>95</v>
      </c>
      <c r="P11" s="3">
        <v>29.3</v>
      </c>
      <c r="Q11" s="3">
        <v>0</v>
      </c>
    </row>
    <row r="12" spans="1:17">
      <c r="A12" t="s">
        <v>28</v>
      </c>
      <c r="B12" t="s">
        <v>29</v>
      </c>
      <c r="C12" s="3">
        <v>60.78</v>
      </c>
      <c r="D12" s="3">
        <v>6.69</v>
      </c>
      <c r="E12" s="3">
        <v>813.71</v>
      </c>
      <c r="F12" s="3">
        <v>90.90000000000001</v>
      </c>
      <c r="G12" s="3">
        <v>1</v>
      </c>
      <c r="H12" s="3">
        <v>2</v>
      </c>
      <c r="I12" s="3">
        <v>2</v>
      </c>
      <c r="J12" s="3">
        <v>4392.16</v>
      </c>
      <c r="K12" s="3">
        <v>120000</v>
      </c>
      <c r="L12" s="3">
        <v>8773.92</v>
      </c>
      <c r="M12" s="3">
        <v>0</v>
      </c>
      <c r="N12" s="3">
        <v>40</v>
      </c>
      <c r="O12" s="3">
        <v>95.59999999999999</v>
      </c>
      <c r="P12" s="3">
        <v>40</v>
      </c>
      <c r="Q12" s="3">
        <v>0</v>
      </c>
    </row>
    <row r="13" spans="1:17">
      <c r="A13" t="s">
        <v>30</v>
      </c>
      <c r="B13" t="s">
        <v>31</v>
      </c>
      <c r="C13" s="3">
        <v>60.87</v>
      </c>
      <c r="D13" s="3">
        <v>6.58</v>
      </c>
      <c r="E13" s="3">
        <v>804.8099999999999</v>
      </c>
      <c r="F13" s="3">
        <v>74.84</v>
      </c>
      <c r="G13" s="3">
        <v>1</v>
      </c>
      <c r="H13" s="3">
        <v>2</v>
      </c>
      <c r="I13" s="3">
        <v>2</v>
      </c>
      <c r="J13" s="3">
        <v>4333.01</v>
      </c>
      <c r="K13" s="3">
        <v>113230.77</v>
      </c>
      <c r="L13" s="3">
        <v>8502.620000000001</v>
      </c>
      <c r="M13" s="3">
        <v>0</v>
      </c>
      <c r="N13" s="3">
        <v>43.4</v>
      </c>
      <c r="O13" s="3">
        <v>95.7</v>
      </c>
      <c r="P13" s="3">
        <v>43.4</v>
      </c>
      <c r="Q13" s="3">
        <v>0</v>
      </c>
    </row>
    <row r="14" spans="1:17">
      <c r="A14" t="s">
        <v>32</v>
      </c>
      <c r="B14" t="s">
        <v>33</v>
      </c>
      <c r="C14" s="3">
        <v>61.08</v>
      </c>
      <c r="D14" s="3">
        <v>6.72</v>
      </c>
      <c r="E14" s="3">
        <v>797.87</v>
      </c>
      <c r="F14" s="3">
        <v>58.55</v>
      </c>
      <c r="G14" s="3">
        <v>1</v>
      </c>
      <c r="H14" s="3">
        <v>2</v>
      </c>
      <c r="I14" s="3">
        <v>2</v>
      </c>
      <c r="J14" s="3">
        <v>4097.56</v>
      </c>
      <c r="K14" s="3">
        <v>97615.96000000001</v>
      </c>
      <c r="L14" s="3">
        <v>7505.15</v>
      </c>
      <c r="M14" s="3">
        <v>0</v>
      </c>
      <c r="N14" s="3">
        <v>51.2</v>
      </c>
      <c r="O14" s="3">
        <v>96.2</v>
      </c>
      <c r="P14" s="3">
        <v>51.2</v>
      </c>
      <c r="Q14" s="3">
        <v>0</v>
      </c>
    </row>
    <row r="15" spans="1:17">
      <c r="A15" t="s">
        <v>34</v>
      </c>
      <c r="B15" t="s">
        <v>35</v>
      </c>
      <c r="C15" s="3">
        <v>61.33</v>
      </c>
      <c r="D15" s="3">
        <v>6.34</v>
      </c>
      <c r="E15" s="3">
        <v>790.67</v>
      </c>
      <c r="F15" s="3">
        <v>80</v>
      </c>
      <c r="G15" s="3">
        <v>1</v>
      </c>
      <c r="H15" s="3">
        <v>2</v>
      </c>
      <c r="I15" s="3">
        <v>2</v>
      </c>
      <c r="J15" s="3">
        <v>4097.56</v>
      </c>
      <c r="K15" s="3">
        <v>87255.81</v>
      </c>
      <c r="L15" s="3">
        <v>7114.75</v>
      </c>
      <c r="M15" s="3">
        <v>0</v>
      </c>
      <c r="N15" s="3">
        <v>56.4</v>
      </c>
      <c r="O15" s="3">
        <v>96.40000000000001</v>
      </c>
      <c r="P15" s="3">
        <v>56.4</v>
      </c>
      <c r="Q15" s="3">
        <v>0</v>
      </c>
    </row>
    <row r="16" spans="1:17">
      <c r="A16" t="s">
        <v>36</v>
      </c>
      <c r="B16" t="s">
        <v>37</v>
      </c>
      <c r="C16" s="3">
        <v>61.26</v>
      </c>
      <c r="D16" s="3">
        <v>5.39</v>
      </c>
      <c r="E16" s="3">
        <v>781.87</v>
      </c>
      <c r="F16" s="3">
        <v>45.98</v>
      </c>
      <c r="G16" s="3">
        <v>1</v>
      </c>
      <c r="H16" s="3">
        <v>2</v>
      </c>
      <c r="I16" s="3">
        <v>2</v>
      </c>
      <c r="J16" s="3">
        <v>4333.01</v>
      </c>
      <c r="K16" s="3">
        <v>157888.89</v>
      </c>
      <c r="L16" s="3">
        <v>9531.91</v>
      </c>
      <c r="M16" s="3">
        <v>0</v>
      </c>
      <c r="N16" s="3">
        <v>21.1</v>
      </c>
      <c r="O16" s="3">
        <v>95.2</v>
      </c>
      <c r="P16" s="3">
        <v>21.1</v>
      </c>
      <c r="Q16" s="3">
        <v>0</v>
      </c>
    </row>
    <row r="17" spans="1:17">
      <c r="A17" t="s">
        <v>38</v>
      </c>
      <c r="B17" t="s">
        <v>39</v>
      </c>
      <c r="C17" s="3">
        <v>61.08</v>
      </c>
      <c r="D17" s="3">
        <v>5.44</v>
      </c>
      <c r="E17" s="3">
        <v>773.14</v>
      </c>
      <c r="F17" s="3">
        <v>72.83</v>
      </c>
      <c r="G17" s="3">
        <v>1</v>
      </c>
      <c r="H17" s="3">
        <v>2</v>
      </c>
      <c r="I17" s="3">
        <v>3</v>
      </c>
      <c r="J17" s="3">
        <v>4451.42</v>
      </c>
      <c r="K17" s="3">
        <v>149333.33</v>
      </c>
      <c r="L17" s="3">
        <v>9671.639999999999</v>
      </c>
      <c r="M17" s="3">
        <v>0</v>
      </c>
      <c r="N17" s="3">
        <v>25.3</v>
      </c>
      <c r="O17" s="3">
        <v>95.2</v>
      </c>
      <c r="P17" s="3">
        <v>25.3</v>
      </c>
      <c r="Q17" s="3">
        <v>0</v>
      </c>
    </row>
    <row r="18" spans="1:17">
      <c r="A18" t="s">
        <v>40</v>
      </c>
      <c r="B18" t="s">
        <v>41</v>
      </c>
      <c r="C18" s="3">
        <v>61.02</v>
      </c>
      <c r="D18" s="3">
        <v>5.13</v>
      </c>
      <c r="E18" s="3">
        <v>764.58</v>
      </c>
      <c r="F18" s="3">
        <v>49.6</v>
      </c>
      <c r="G18" s="3">
        <v>0</v>
      </c>
      <c r="H18" s="3">
        <v>1</v>
      </c>
      <c r="I18" s="3">
        <v>2</v>
      </c>
      <c r="J18" s="3">
        <v>4510.81</v>
      </c>
      <c r="K18" s="3">
        <v>176452.83</v>
      </c>
      <c r="L18" s="3">
        <v>10450.92</v>
      </c>
      <c r="M18" s="3">
        <v>0</v>
      </c>
      <c r="N18" s="3">
        <v>11.8</v>
      </c>
      <c r="O18" s="3">
        <v>94.8</v>
      </c>
      <c r="P18" s="3">
        <v>11.8</v>
      </c>
      <c r="Q18" s="3">
        <v>0</v>
      </c>
    </row>
    <row r="19" spans="1:17">
      <c r="A19" t="s">
        <v>42</v>
      </c>
      <c r="B19" t="s">
        <v>43</v>
      </c>
      <c r="C19" s="3">
        <v>61.02</v>
      </c>
      <c r="D19" s="3">
        <v>5.27</v>
      </c>
      <c r="E19" s="3">
        <v>758.42</v>
      </c>
      <c r="F19" s="3">
        <v>42.96</v>
      </c>
      <c r="G19" s="3">
        <v>0</v>
      </c>
      <c r="H19" s="3">
        <v>1</v>
      </c>
      <c r="I19" s="3">
        <v>2</v>
      </c>
      <c r="J19" s="3">
        <v>4451.42</v>
      </c>
      <c r="K19" s="3">
        <v>145307.19</v>
      </c>
      <c r="L19" s="3">
        <v>9882.35</v>
      </c>
      <c r="M19" s="3">
        <v>0</v>
      </c>
      <c r="N19" s="3">
        <v>27.3</v>
      </c>
      <c r="O19" s="3">
        <v>95.09999999999999</v>
      </c>
      <c r="P19" s="3">
        <v>27.3</v>
      </c>
      <c r="Q19" s="3">
        <v>0</v>
      </c>
    </row>
    <row r="20" spans="1:17">
      <c r="A20" t="s">
        <v>44</v>
      </c>
      <c r="B20" t="s">
        <v>45</v>
      </c>
      <c r="C20" s="3">
        <v>60.94</v>
      </c>
      <c r="D20" s="3">
        <v>4.82</v>
      </c>
      <c r="E20" s="3">
        <v>752.24</v>
      </c>
      <c r="F20" s="3">
        <v>56.24</v>
      </c>
      <c r="G20" s="3">
        <v>0</v>
      </c>
      <c r="H20" s="3">
        <v>1</v>
      </c>
      <c r="I20" s="3">
        <v>3</v>
      </c>
      <c r="J20" s="3">
        <v>4570.3</v>
      </c>
      <c r="K20" s="3">
        <v>171306.27</v>
      </c>
      <c r="L20" s="3">
        <v>10666.67</v>
      </c>
      <c r="M20" s="3">
        <v>0</v>
      </c>
      <c r="N20" s="3">
        <v>14.3</v>
      </c>
      <c r="O20" s="3">
        <v>94.7</v>
      </c>
      <c r="P20" s="3">
        <v>14.3</v>
      </c>
      <c r="Q20" s="3">
        <v>0</v>
      </c>
    </row>
    <row r="21" spans="1:17">
      <c r="A21" t="s">
        <v>46</v>
      </c>
      <c r="B21" t="s">
        <v>47</v>
      </c>
      <c r="C21" s="3">
        <v>60.83</v>
      </c>
      <c r="D21" s="3">
        <v>4.42</v>
      </c>
      <c r="E21" s="3">
        <v>746.1799999999999</v>
      </c>
      <c r="F21" s="3">
        <v>61.63</v>
      </c>
      <c r="G21" s="3">
        <v>1</v>
      </c>
      <c r="H21" s="3">
        <v>2</v>
      </c>
      <c r="I21" s="3">
        <v>4</v>
      </c>
      <c r="J21" s="3">
        <v>4570.3</v>
      </c>
      <c r="K21" s="3">
        <v>200666.67</v>
      </c>
      <c r="L21" s="3">
        <v>11102.4</v>
      </c>
      <c r="M21" s="3">
        <v>0</v>
      </c>
      <c r="N21" s="3">
        <v>0</v>
      </c>
      <c r="O21" s="3">
        <v>94.40000000000001</v>
      </c>
      <c r="P21" s="3">
        <v>0</v>
      </c>
      <c r="Q21" s="3">
        <v>0</v>
      </c>
    </row>
    <row r="22" spans="1:17">
      <c r="A22" t="s">
        <v>48</v>
      </c>
      <c r="B22" t="s">
        <v>49</v>
      </c>
      <c r="C22" s="3">
        <v>60.74</v>
      </c>
      <c r="D22" s="3">
        <v>4.15</v>
      </c>
      <c r="E22" s="3">
        <v>741.14</v>
      </c>
      <c r="F22" s="3">
        <v>43.49</v>
      </c>
      <c r="G22" s="3">
        <v>1</v>
      </c>
      <c r="H22" s="3">
        <v>2</v>
      </c>
      <c r="I22" s="3">
        <v>4</v>
      </c>
      <c r="J22" s="3">
        <v>4809.48</v>
      </c>
      <c r="K22" s="3">
        <v>222733.03</v>
      </c>
      <c r="L22" s="3">
        <v>12903.8</v>
      </c>
      <c r="M22" s="3">
        <v>0</v>
      </c>
      <c r="N22" s="3">
        <v>0</v>
      </c>
      <c r="O22" s="3">
        <v>93.5</v>
      </c>
      <c r="P22" s="3">
        <v>0</v>
      </c>
      <c r="Q22" s="3">
        <v>0</v>
      </c>
    </row>
    <row r="23" spans="1:17">
      <c r="A23" t="s">
        <v>50</v>
      </c>
      <c r="B23" t="s">
        <v>51</v>
      </c>
      <c r="C23" s="3">
        <v>60.62</v>
      </c>
      <c r="D23" s="3">
        <v>4.3</v>
      </c>
      <c r="E23" s="3">
        <v>734.9299999999999</v>
      </c>
      <c r="F23" s="3">
        <v>44.44</v>
      </c>
      <c r="G23" s="3">
        <v>1</v>
      </c>
      <c r="H23" s="3">
        <v>2</v>
      </c>
      <c r="I23" s="3">
        <v>4</v>
      </c>
      <c r="J23" s="3">
        <v>4749.51</v>
      </c>
      <c r="K23" s="3">
        <v>209517.24</v>
      </c>
      <c r="L23" s="3">
        <v>12444.44</v>
      </c>
      <c r="M23" s="3">
        <v>0</v>
      </c>
      <c r="N23" s="3">
        <v>0</v>
      </c>
      <c r="O23" s="3">
        <v>93.8</v>
      </c>
      <c r="P23" s="3">
        <v>0</v>
      </c>
      <c r="Q23" s="3">
        <v>0</v>
      </c>
    </row>
    <row r="24" spans="1:17">
      <c r="A24" t="s">
        <v>52</v>
      </c>
      <c r="B24" t="s">
        <v>53</v>
      </c>
      <c r="C24" s="3">
        <v>60.5</v>
      </c>
      <c r="D24" s="3">
        <v>4.98</v>
      </c>
      <c r="E24" s="3">
        <v>729.3099999999999</v>
      </c>
      <c r="F24" s="3">
        <v>44.09</v>
      </c>
      <c r="G24" s="3">
        <v>1</v>
      </c>
      <c r="H24" s="3">
        <v>2</v>
      </c>
      <c r="I24" s="3">
        <v>4</v>
      </c>
      <c r="J24" s="3">
        <v>4451.42</v>
      </c>
      <c r="K24" s="3">
        <v>137710.69</v>
      </c>
      <c r="L24" s="3">
        <v>9462.27</v>
      </c>
      <c r="M24" s="3">
        <v>0</v>
      </c>
      <c r="N24" s="3">
        <v>31.1</v>
      </c>
      <c r="O24" s="3">
        <v>95.3</v>
      </c>
      <c r="P24" s="3">
        <v>31.1</v>
      </c>
      <c r="Q24" s="3">
        <v>0</v>
      </c>
    </row>
    <row r="25" spans="1:17">
      <c r="A25" t="s">
        <v>54</v>
      </c>
      <c r="B25" t="s">
        <v>55</v>
      </c>
      <c r="C25" s="3">
        <v>60.49</v>
      </c>
      <c r="D25" s="3">
        <v>4.53</v>
      </c>
      <c r="E25" s="3">
        <v>724.8200000000001</v>
      </c>
      <c r="F25" s="3">
        <v>45.87</v>
      </c>
      <c r="G25" s="3">
        <v>0</v>
      </c>
      <c r="H25" s="3">
        <v>1</v>
      </c>
      <c r="I25" s="3">
        <v>3</v>
      </c>
      <c r="J25" s="3">
        <v>4510.81</v>
      </c>
      <c r="K25" s="3">
        <v>184625</v>
      </c>
      <c r="L25" s="3">
        <v>10307.86</v>
      </c>
      <c r="M25" s="3">
        <v>0</v>
      </c>
      <c r="N25" s="3">
        <v>7.7</v>
      </c>
      <c r="O25" s="3">
        <v>94.8</v>
      </c>
      <c r="P25" s="3">
        <v>7.7</v>
      </c>
      <c r="Q25" s="3">
        <v>0</v>
      </c>
    </row>
    <row r="26" spans="1:17">
      <c r="A26" t="s">
        <v>56</v>
      </c>
      <c r="B26" t="s">
        <v>57</v>
      </c>
      <c r="C26" s="3">
        <v>60.46</v>
      </c>
      <c r="D26" s="3">
        <v>4.71</v>
      </c>
      <c r="E26" s="3">
        <v>719.54</v>
      </c>
      <c r="F26" s="3">
        <v>45.39</v>
      </c>
      <c r="G26" s="3">
        <v>1</v>
      </c>
      <c r="H26" s="3">
        <v>2</v>
      </c>
      <c r="I26" s="3">
        <v>3</v>
      </c>
      <c r="J26" s="3">
        <v>4510.81</v>
      </c>
      <c r="K26" s="3">
        <v>164000</v>
      </c>
      <c r="L26" s="3">
        <v>10307.86</v>
      </c>
      <c r="M26" s="3">
        <v>0</v>
      </c>
      <c r="N26" s="3">
        <v>18</v>
      </c>
      <c r="O26" s="3">
        <v>94.8</v>
      </c>
      <c r="P26" s="3">
        <v>18</v>
      </c>
      <c r="Q26" s="3">
        <v>0</v>
      </c>
    </row>
    <row r="27" spans="1:17">
      <c r="A27" t="s">
        <v>58</v>
      </c>
      <c r="B27" t="s">
        <v>59</v>
      </c>
      <c r="C27" s="3">
        <v>60.41</v>
      </c>
      <c r="D27" s="3">
        <v>4.33</v>
      </c>
      <c r="E27" s="3">
        <v>713.39</v>
      </c>
      <c r="F27" s="3">
        <v>58.01</v>
      </c>
      <c r="G27" s="3">
        <v>1</v>
      </c>
      <c r="H27" s="3">
        <v>2</v>
      </c>
      <c r="I27" s="3">
        <v>3</v>
      </c>
      <c r="J27" s="3">
        <v>4510.81</v>
      </c>
      <c r="K27" s="3">
        <v>179114.5</v>
      </c>
      <c r="L27" s="3">
        <v>10094.42</v>
      </c>
      <c r="M27" s="3">
        <v>0</v>
      </c>
      <c r="N27" s="3">
        <v>10.4</v>
      </c>
      <c r="O27" s="3">
        <v>95</v>
      </c>
      <c r="P27" s="3">
        <v>10.4</v>
      </c>
      <c r="Q27" s="3">
        <v>0</v>
      </c>
    </row>
    <row r="28" spans="1:17">
      <c r="A28" t="s">
        <v>60</v>
      </c>
      <c r="B28" t="s">
        <v>61</v>
      </c>
      <c r="C28" s="3">
        <v>60.37</v>
      </c>
      <c r="D28" s="3">
        <v>4.63</v>
      </c>
      <c r="E28" s="3">
        <v>706.67</v>
      </c>
      <c r="F28" s="3">
        <v>39.41</v>
      </c>
      <c r="G28" s="3">
        <v>1</v>
      </c>
      <c r="H28" s="3">
        <v>2</v>
      </c>
      <c r="I28" s="3">
        <v>3</v>
      </c>
      <c r="J28" s="3">
        <v>4451.42</v>
      </c>
      <c r="K28" s="3">
        <v>126248.52</v>
      </c>
      <c r="L28" s="3">
        <v>9462.27</v>
      </c>
      <c r="M28" s="3">
        <v>0</v>
      </c>
      <c r="N28" s="3">
        <v>36.9</v>
      </c>
      <c r="O28" s="3">
        <v>95.3</v>
      </c>
      <c r="P28" s="3">
        <v>36.9</v>
      </c>
      <c r="Q28" s="3">
        <v>0</v>
      </c>
    </row>
    <row r="29" spans="1:17">
      <c r="A29" t="s">
        <v>62</v>
      </c>
      <c r="B29" t="s">
        <v>63</v>
      </c>
      <c r="C29" s="3">
        <v>60.21</v>
      </c>
      <c r="D29" s="3">
        <v>3.9</v>
      </c>
      <c r="E29" s="3">
        <v>700.23</v>
      </c>
      <c r="F29" s="3">
        <v>52.15</v>
      </c>
      <c r="G29" s="3">
        <v>0</v>
      </c>
      <c r="H29" s="3">
        <v>1</v>
      </c>
      <c r="I29" s="3">
        <v>3</v>
      </c>
      <c r="J29" s="3">
        <v>4629.92</v>
      </c>
      <c r="K29" s="3">
        <v>203915.61</v>
      </c>
      <c r="L29" s="3">
        <v>11396.06</v>
      </c>
      <c r="M29" s="3">
        <v>0</v>
      </c>
      <c r="N29" s="3">
        <v>0</v>
      </c>
      <c r="O29" s="3">
        <v>94.3</v>
      </c>
      <c r="P29" s="3">
        <v>0</v>
      </c>
      <c r="Q29" s="3">
        <v>0</v>
      </c>
    </row>
    <row r="30" spans="1:17">
      <c r="A30" t="s">
        <v>64</v>
      </c>
      <c r="B30" t="s">
        <v>65</v>
      </c>
      <c r="C30" s="3">
        <v>60.1</v>
      </c>
      <c r="D30" s="3">
        <v>4.37</v>
      </c>
      <c r="E30" s="3">
        <v>693.6799999999999</v>
      </c>
      <c r="F30" s="3">
        <v>45.69</v>
      </c>
      <c r="G30" s="3">
        <v>0</v>
      </c>
      <c r="H30" s="3">
        <v>1</v>
      </c>
      <c r="I30" s="3">
        <v>3</v>
      </c>
      <c r="J30" s="3">
        <v>4570.3</v>
      </c>
      <c r="K30" s="3">
        <v>140805.11</v>
      </c>
      <c r="L30" s="3">
        <v>10379.31</v>
      </c>
      <c r="M30" s="3">
        <v>0</v>
      </c>
      <c r="N30" s="3">
        <v>29.6</v>
      </c>
      <c r="O30" s="3">
        <v>94.8</v>
      </c>
      <c r="P30" s="3">
        <v>29.6</v>
      </c>
      <c r="Q30" s="3">
        <v>0</v>
      </c>
    </row>
    <row r="31" spans="1:17">
      <c r="A31" t="s">
        <v>66</v>
      </c>
      <c r="B31" t="s">
        <v>67</v>
      </c>
      <c r="C31" s="3">
        <v>59.9</v>
      </c>
      <c r="D31" s="3">
        <v>3.86</v>
      </c>
      <c r="E31" s="3">
        <v>686.51</v>
      </c>
      <c r="F31" s="3">
        <v>42.31</v>
      </c>
      <c r="G31" s="3">
        <v>0</v>
      </c>
      <c r="H31" s="3">
        <v>1</v>
      </c>
      <c r="I31" s="3">
        <v>3</v>
      </c>
      <c r="J31" s="3">
        <v>4689.66</v>
      </c>
      <c r="K31" s="3">
        <v>174711.61</v>
      </c>
      <c r="L31" s="3">
        <v>11469.88</v>
      </c>
      <c r="M31" s="3">
        <v>0</v>
      </c>
      <c r="N31" s="3">
        <v>12.6</v>
      </c>
      <c r="O31" s="3">
        <v>94.3</v>
      </c>
      <c r="P31" s="3">
        <v>12.6</v>
      </c>
      <c r="Q31" s="3">
        <v>0</v>
      </c>
    </row>
    <row r="32" spans="1:17">
      <c r="A32" t="s">
        <v>68</v>
      </c>
      <c r="B32" t="s">
        <v>69</v>
      </c>
      <c r="C32" s="3">
        <v>59.73</v>
      </c>
      <c r="D32" s="3">
        <v>3.68</v>
      </c>
      <c r="E32" s="3">
        <v>680.08</v>
      </c>
      <c r="F32" s="3">
        <v>43.67</v>
      </c>
      <c r="G32" s="3">
        <v>0</v>
      </c>
      <c r="H32" s="3">
        <v>1</v>
      </c>
      <c r="I32" s="3">
        <v>3</v>
      </c>
      <c r="J32" s="3">
        <v>4749.51</v>
      </c>
      <c r="K32" s="3">
        <v>199601.66</v>
      </c>
      <c r="L32" s="3">
        <v>11991.17</v>
      </c>
      <c r="M32" s="3">
        <v>0</v>
      </c>
      <c r="N32" s="3">
        <v>0.2</v>
      </c>
      <c r="O32" s="3">
        <v>94</v>
      </c>
      <c r="P32" s="3">
        <v>0.2</v>
      </c>
      <c r="Q32" s="3">
        <v>0</v>
      </c>
    </row>
    <row r="33" spans="1:17">
      <c r="A33" t="s">
        <v>70</v>
      </c>
      <c r="B33" t="s">
        <v>71</v>
      </c>
      <c r="C33" s="3">
        <v>59.67</v>
      </c>
      <c r="D33" s="3">
        <v>4.07</v>
      </c>
      <c r="E33" s="3">
        <v>674.5700000000001</v>
      </c>
      <c r="F33" s="3">
        <v>42.96</v>
      </c>
      <c r="G33" s="3">
        <v>0</v>
      </c>
      <c r="H33" s="3">
        <v>1</v>
      </c>
      <c r="I33" s="3">
        <v>3</v>
      </c>
      <c r="J33" s="3">
        <v>4689.66</v>
      </c>
      <c r="K33" s="3">
        <v>168000</v>
      </c>
      <c r="L33" s="3">
        <v>11322.4</v>
      </c>
      <c r="M33" s="3">
        <v>0</v>
      </c>
      <c r="N33" s="3">
        <v>16</v>
      </c>
      <c r="O33" s="3">
        <v>94.3</v>
      </c>
      <c r="P33" s="3">
        <v>16</v>
      </c>
      <c r="Q33" s="3">
        <v>0</v>
      </c>
    </row>
    <row r="34" spans="1:17">
      <c r="A34" t="s">
        <v>72</v>
      </c>
      <c r="B34" t="s">
        <v>73</v>
      </c>
      <c r="C34" s="3">
        <v>59.6</v>
      </c>
      <c r="D34" s="3">
        <v>4.02</v>
      </c>
      <c r="E34" s="3">
        <v>668.85</v>
      </c>
      <c r="F34" s="3">
        <v>46.75</v>
      </c>
      <c r="G34" s="3">
        <v>0</v>
      </c>
      <c r="H34" s="3">
        <v>1</v>
      </c>
      <c r="I34" s="3">
        <v>3</v>
      </c>
      <c r="J34" s="3">
        <v>4629.92</v>
      </c>
      <c r="K34" s="3">
        <v>154958.9</v>
      </c>
      <c r="L34" s="3">
        <v>10450.92</v>
      </c>
      <c r="M34" s="3">
        <v>0</v>
      </c>
      <c r="N34" s="3">
        <v>22.5</v>
      </c>
      <c r="O34" s="3">
        <v>94.8</v>
      </c>
      <c r="P34" s="3">
        <v>22.5</v>
      </c>
      <c r="Q34" s="3">
        <v>0</v>
      </c>
    </row>
    <row r="35" spans="1:17">
      <c r="A35" t="s">
        <v>74</v>
      </c>
      <c r="B35" t="s">
        <v>75</v>
      </c>
      <c r="C35" s="3">
        <v>59.42</v>
      </c>
      <c r="D35" s="3">
        <v>4.16</v>
      </c>
      <c r="E35" s="3">
        <v>662.77</v>
      </c>
      <c r="F35" s="3">
        <v>45.57</v>
      </c>
      <c r="G35" s="3">
        <v>0</v>
      </c>
      <c r="H35" s="3">
        <v>1</v>
      </c>
      <c r="I35" s="3">
        <v>3</v>
      </c>
      <c r="J35" s="3">
        <v>4451.42</v>
      </c>
      <c r="K35" s="3">
        <v>120504.3</v>
      </c>
      <c r="L35" s="3">
        <v>9254.24</v>
      </c>
      <c r="M35" s="3">
        <v>0</v>
      </c>
      <c r="N35" s="3">
        <v>39.7</v>
      </c>
      <c r="O35" s="3">
        <v>95.40000000000001</v>
      </c>
      <c r="P35" s="3">
        <v>39.7</v>
      </c>
      <c r="Q35" s="3">
        <v>0</v>
      </c>
    </row>
    <row r="36" spans="1:17">
      <c r="A36" t="s">
        <v>76</v>
      </c>
      <c r="B36" t="s">
        <v>77</v>
      </c>
      <c r="C36" s="3">
        <v>59.39</v>
      </c>
      <c r="D36" s="3">
        <v>3.74</v>
      </c>
      <c r="E36" s="3">
        <v>656.78</v>
      </c>
      <c r="F36" s="3">
        <v>72.65000000000001</v>
      </c>
      <c r="G36" s="3">
        <v>0</v>
      </c>
      <c r="H36" s="3">
        <v>1</v>
      </c>
      <c r="I36" s="3">
        <v>3</v>
      </c>
      <c r="J36" s="3">
        <v>4749.51</v>
      </c>
      <c r="K36" s="3">
        <v>146631.58</v>
      </c>
      <c r="L36" s="3">
        <v>11029.38</v>
      </c>
      <c r="M36" s="3">
        <v>0</v>
      </c>
      <c r="N36" s="3">
        <v>26.7</v>
      </c>
      <c r="O36" s="3">
        <v>94.5</v>
      </c>
      <c r="P36" s="3">
        <v>26.7</v>
      </c>
      <c r="Q36" s="3">
        <v>0</v>
      </c>
    </row>
    <row r="37" spans="1:17">
      <c r="A37" t="s">
        <v>78</v>
      </c>
      <c r="B37" t="s">
        <v>79</v>
      </c>
      <c r="C37" s="3">
        <v>59.26</v>
      </c>
      <c r="D37" s="3">
        <v>3.62</v>
      </c>
      <c r="E37" s="3">
        <v>651.52</v>
      </c>
      <c r="F37" s="3">
        <v>50.66</v>
      </c>
      <c r="G37" s="3">
        <v>0</v>
      </c>
      <c r="H37" s="3">
        <v>1</v>
      </c>
      <c r="I37" s="3">
        <v>3</v>
      </c>
      <c r="J37" s="3">
        <v>4629.92</v>
      </c>
      <c r="K37" s="3">
        <v>126789.32</v>
      </c>
      <c r="L37" s="3">
        <v>9671.639999999999</v>
      </c>
      <c r="M37" s="3">
        <v>0</v>
      </c>
      <c r="N37" s="3">
        <v>36.6</v>
      </c>
      <c r="O37" s="3">
        <v>95.2</v>
      </c>
      <c r="P37" s="3">
        <v>36.6</v>
      </c>
      <c r="Q37" s="3">
        <v>0</v>
      </c>
    </row>
    <row r="38" spans="1:17">
      <c r="A38" t="s">
        <v>80</v>
      </c>
      <c r="B38" t="s">
        <v>81</v>
      </c>
      <c r="C38" s="3">
        <v>59.17</v>
      </c>
      <c r="D38" s="3">
        <v>3.17</v>
      </c>
      <c r="E38" s="3">
        <v>645.65</v>
      </c>
      <c r="F38" s="3">
        <v>53.63</v>
      </c>
      <c r="G38" s="3">
        <v>0</v>
      </c>
      <c r="H38" s="3">
        <v>1</v>
      </c>
      <c r="I38" s="3">
        <v>3</v>
      </c>
      <c r="J38" s="3">
        <v>4749.51</v>
      </c>
      <c r="K38" s="3">
        <v>154238.91</v>
      </c>
      <c r="L38" s="3">
        <v>10379.31</v>
      </c>
      <c r="M38" s="3">
        <v>0</v>
      </c>
      <c r="N38" s="3">
        <v>22.9</v>
      </c>
      <c r="O38" s="3">
        <v>94.8</v>
      </c>
      <c r="P38" s="3">
        <v>22.9</v>
      </c>
      <c r="Q38" s="3">
        <v>0</v>
      </c>
    </row>
    <row r="39" spans="1:17">
      <c r="A39" t="s">
        <v>82</v>
      </c>
      <c r="B39" t="s">
        <v>83</v>
      </c>
      <c r="C39" s="3">
        <v>59</v>
      </c>
      <c r="D39" s="3">
        <v>2.8</v>
      </c>
      <c r="E39" s="3">
        <v>639.45</v>
      </c>
      <c r="F39" s="3">
        <v>45.69</v>
      </c>
      <c r="G39" s="3">
        <v>0</v>
      </c>
      <c r="H39" s="3">
        <v>1</v>
      </c>
      <c r="I39" s="3">
        <v>3</v>
      </c>
      <c r="J39" s="3">
        <v>4929.77</v>
      </c>
      <c r="K39" s="3">
        <v>140805.11</v>
      </c>
      <c r="L39" s="3">
        <v>11469.88</v>
      </c>
      <c r="M39" s="3">
        <v>0</v>
      </c>
      <c r="N39" s="3">
        <v>29.6</v>
      </c>
      <c r="O39" s="3">
        <v>94.3</v>
      </c>
      <c r="P39" s="3">
        <v>29.6</v>
      </c>
      <c r="Q39" s="3">
        <v>0</v>
      </c>
    </row>
    <row r="40" spans="1:17">
      <c r="A40" t="s">
        <v>84</v>
      </c>
      <c r="B40" t="s">
        <v>85</v>
      </c>
      <c r="C40" s="3">
        <v>58.9</v>
      </c>
      <c r="D40" s="3">
        <v>2.74</v>
      </c>
      <c r="E40" s="3">
        <v>633.9400000000001</v>
      </c>
      <c r="F40" s="3">
        <v>45.57</v>
      </c>
      <c r="G40" s="3">
        <v>0</v>
      </c>
      <c r="H40" s="3">
        <v>1</v>
      </c>
      <c r="I40" s="3">
        <v>3</v>
      </c>
      <c r="J40" s="3">
        <v>4990.1</v>
      </c>
      <c r="K40" s="3">
        <v>144651.47</v>
      </c>
      <c r="L40" s="3">
        <v>11543.86</v>
      </c>
      <c r="M40" s="3">
        <v>0</v>
      </c>
      <c r="N40" s="3">
        <v>27.7</v>
      </c>
      <c r="O40" s="3">
        <v>94.2</v>
      </c>
      <c r="P40" s="3">
        <v>27.7</v>
      </c>
      <c r="Q40" s="3">
        <v>0</v>
      </c>
    </row>
    <row r="41" spans="1:17">
      <c r="A41" t="s">
        <v>86</v>
      </c>
      <c r="B41" t="s">
        <v>87</v>
      </c>
      <c r="C41" s="3">
        <v>58.85</v>
      </c>
      <c r="D41" s="3">
        <v>2.22</v>
      </c>
      <c r="E41" s="3">
        <v>628.54</v>
      </c>
      <c r="F41" s="3">
        <v>60.98</v>
      </c>
      <c r="G41" s="3">
        <v>0</v>
      </c>
      <c r="H41" s="3">
        <v>2</v>
      </c>
      <c r="I41" s="3">
        <v>3</v>
      </c>
      <c r="J41" s="3">
        <v>5415.75</v>
      </c>
      <c r="K41" s="3">
        <v>164000</v>
      </c>
      <c r="L41" s="3">
        <v>13525.96</v>
      </c>
      <c r="M41" s="3">
        <v>0</v>
      </c>
      <c r="N41" s="3">
        <v>18</v>
      </c>
      <c r="O41" s="3">
        <v>93.2</v>
      </c>
      <c r="P41" s="3">
        <v>18</v>
      </c>
      <c r="Q41" s="3">
        <v>0</v>
      </c>
    </row>
    <row r="42" spans="1:17">
      <c r="A42" t="s">
        <v>88</v>
      </c>
      <c r="B42" t="s">
        <v>89</v>
      </c>
      <c r="C42" s="3">
        <v>58.66</v>
      </c>
      <c r="D42" s="3">
        <v>2.38</v>
      </c>
      <c r="E42" s="3">
        <v>622.76</v>
      </c>
      <c r="F42" s="3">
        <v>46.58</v>
      </c>
      <c r="G42" s="3">
        <v>0</v>
      </c>
      <c r="H42" s="3">
        <v>2</v>
      </c>
      <c r="I42" s="3">
        <v>3</v>
      </c>
      <c r="J42" s="3">
        <v>5293.53</v>
      </c>
      <c r="K42" s="3">
        <v>126248.52</v>
      </c>
      <c r="L42" s="3">
        <v>11618</v>
      </c>
      <c r="M42" s="3">
        <v>0</v>
      </c>
      <c r="N42" s="3">
        <v>36.9</v>
      </c>
      <c r="O42" s="3">
        <v>94.2</v>
      </c>
      <c r="P42" s="3">
        <v>36.9</v>
      </c>
      <c r="Q42" s="3">
        <v>0</v>
      </c>
    </row>
    <row r="43" spans="1:17">
      <c r="A43" t="s">
        <v>90</v>
      </c>
      <c r="B43" t="s">
        <v>91</v>
      </c>
      <c r="C43" s="3">
        <v>58.55</v>
      </c>
      <c r="D43" s="3">
        <v>2.05</v>
      </c>
      <c r="E43" s="3">
        <v>618.08</v>
      </c>
      <c r="F43" s="3">
        <v>43.38</v>
      </c>
      <c r="G43" s="3">
        <v>0</v>
      </c>
      <c r="H43" s="3">
        <v>2</v>
      </c>
      <c r="I43" s="3">
        <v>3</v>
      </c>
      <c r="J43" s="3">
        <v>5111.11</v>
      </c>
      <c r="K43" s="3">
        <v>124116.96</v>
      </c>
      <c r="L43" s="3">
        <v>10594.59</v>
      </c>
      <c r="M43" s="3">
        <v>0</v>
      </c>
      <c r="N43" s="3">
        <v>37.9</v>
      </c>
      <c r="O43" s="3">
        <v>94.7</v>
      </c>
      <c r="P43" s="3">
        <v>37.9</v>
      </c>
      <c r="Q43" s="3">
        <v>0</v>
      </c>
    </row>
    <row r="44" spans="1:17">
      <c r="A44" t="s">
        <v>92</v>
      </c>
      <c r="B44" t="s">
        <v>93</v>
      </c>
      <c r="C44" s="3">
        <v>58.47</v>
      </c>
      <c r="D44" s="3">
        <v>1.88</v>
      </c>
      <c r="E44" s="3">
        <v>613.0700000000001</v>
      </c>
      <c r="F44" s="3">
        <v>42.49</v>
      </c>
      <c r="G44" s="3">
        <v>0</v>
      </c>
      <c r="H44" s="3">
        <v>2</v>
      </c>
      <c r="I44" s="3">
        <v>3</v>
      </c>
      <c r="J44" s="3">
        <v>5232.6</v>
      </c>
      <c r="K44" s="3">
        <v>134712.07</v>
      </c>
      <c r="L44" s="3">
        <v>11175.57</v>
      </c>
      <c r="M44" s="3">
        <v>0</v>
      </c>
      <c r="N44" s="3">
        <v>32.6</v>
      </c>
      <c r="O44" s="3">
        <v>94.40000000000001</v>
      </c>
      <c r="P44" s="3">
        <v>32.6</v>
      </c>
      <c r="Q44" s="3">
        <v>0</v>
      </c>
    </row>
    <row r="45" spans="1:17">
      <c r="A45" t="s">
        <v>94</v>
      </c>
      <c r="B45" t="s">
        <v>95</v>
      </c>
      <c r="C45" s="3">
        <v>58.4</v>
      </c>
      <c r="D45" s="3">
        <v>1.6</v>
      </c>
      <c r="E45" s="3">
        <v>606.9</v>
      </c>
      <c r="F45" s="3">
        <v>80</v>
      </c>
      <c r="G45" s="3">
        <v>0</v>
      </c>
      <c r="H45" s="3">
        <v>2</v>
      </c>
      <c r="I45" s="3">
        <v>3</v>
      </c>
      <c r="J45" s="3">
        <v>5293.53</v>
      </c>
      <c r="K45" s="3">
        <v>110037.74</v>
      </c>
      <c r="L45" s="3">
        <v>10666.67</v>
      </c>
      <c r="M45" s="3">
        <v>0</v>
      </c>
      <c r="N45" s="3">
        <v>45</v>
      </c>
      <c r="O45" s="3">
        <v>94.7</v>
      </c>
      <c r="P45" s="3">
        <v>45</v>
      </c>
      <c r="Q45" s="3">
        <v>0</v>
      </c>
    </row>
    <row r="46" spans="1:17">
      <c r="A46" t="s">
        <v>96</v>
      </c>
      <c r="B46" t="s">
        <v>97</v>
      </c>
      <c r="C46" s="3">
        <v>58.26</v>
      </c>
      <c r="D46" s="3">
        <v>1.76</v>
      </c>
      <c r="E46" s="3">
        <v>602.5700000000001</v>
      </c>
      <c r="F46" s="3">
        <v>93.39</v>
      </c>
      <c r="G46" s="3">
        <v>1</v>
      </c>
      <c r="H46" s="3">
        <v>3</v>
      </c>
      <c r="I46" s="3">
        <v>4</v>
      </c>
      <c r="J46" s="3">
        <v>5171.8</v>
      </c>
      <c r="K46" s="3">
        <v>100743</v>
      </c>
      <c r="L46" s="3">
        <v>9741.73</v>
      </c>
      <c r="M46" s="3">
        <v>0</v>
      </c>
      <c r="N46" s="3">
        <v>49.6</v>
      </c>
      <c r="O46" s="3">
        <v>95.09999999999999</v>
      </c>
      <c r="P46" s="3">
        <v>49.6</v>
      </c>
      <c r="Q46" s="3">
        <v>0</v>
      </c>
    </row>
    <row r="47" spans="1:17">
      <c r="A47" t="s">
        <v>98</v>
      </c>
      <c r="B47" t="s">
        <v>99</v>
      </c>
      <c r="C47" s="3">
        <v>58.17</v>
      </c>
      <c r="D47" s="3">
        <v>1.57</v>
      </c>
      <c r="E47" s="3">
        <v>595.25</v>
      </c>
      <c r="F47" s="3">
        <v>46.28</v>
      </c>
      <c r="G47" s="3">
        <v>1</v>
      </c>
      <c r="H47" s="3">
        <v>3</v>
      </c>
      <c r="I47" s="3">
        <v>3</v>
      </c>
      <c r="J47" s="3">
        <v>5171.8</v>
      </c>
      <c r="K47" s="3">
        <v>128431.14</v>
      </c>
      <c r="L47" s="3">
        <v>10379.31</v>
      </c>
      <c r="M47" s="3">
        <v>0</v>
      </c>
      <c r="N47" s="3">
        <v>35.8</v>
      </c>
      <c r="O47" s="3">
        <v>94.8</v>
      </c>
      <c r="P47" s="3">
        <v>35.8</v>
      </c>
      <c r="Q47" s="3">
        <v>0</v>
      </c>
    </row>
    <row r="48" spans="1:17">
      <c r="A48" t="s">
        <v>100</v>
      </c>
      <c r="B48" t="s">
        <v>101</v>
      </c>
      <c r="C48" s="3">
        <v>58.15</v>
      </c>
      <c r="D48" s="3">
        <v>1.83</v>
      </c>
      <c r="E48" s="3">
        <v>590.75</v>
      </c>
      <c r="F48" s="3">
        <v>44.68</v>
      </c>
      <c r="G48" s="3">
        <v>1</v>
      </c>
      <c r="H48" s="3">
        <v>3</v>
      </c>
      <c r="I48" s="3">
        <v>3</v>
      </c>
      <c r="J48" s="3">
        <v>4990.1</v>
      </c>
      <c r="K48" s="3">
        <v>118011.3</v>
      </c>
      <c r="L48" s="3">
        <v>9952.889999999999</v>
      </c>
      <c r="M48" s="3">
        <v>0</v>
      </c>
      <c r="N48" s="3">
        <v>41</v>
      </c>
      <c r="O48" s="3">
        <v>95</v>
      </c>
      <c r="P48" s="3">
        <v>41</v>
      </c>
      <c r="Q48" s="3">
        <v>0</v>
      </c>
    </row>
    <row r="49" spans="1:17">
      <c r="A49" t="s">
        <v>102</v>
      </c>
      <c r="B49" t="s">
        <v>103</v>
      </c>
      <c r="C49" s="3">
        <v>58.11</v>
      </c>
      <c r="D49" s="3">
        <v>1.78</v>
      </c>
      <c r="E49" s="3">
        <v>584.36</v>
      </c>
      <c r="F49" s="3">
        <v>42.9</v>
      </c>
      <c r="G49" s="3">
        <v>1</v>
      </c>
      <c r="H49" s="3">
        <v>3</v>
      </c>
      <c r="I49" s="3">
        <v>3</v>
      </c>
      <c r="J49" s="3">
        <v>5050.55</v>
      </c>
      <c r="K49" s="3">
        <v>130666.67</v>
      </c>
      <c r="L49" s="3">
        <v>10594.59</v>
      </c>
      <c r="M49" s="3">
        <v>0</v>
      </c>
      <c r="N49" s="3">
        <v>34.7</v>
      </c>
      <c r="O49" s="3">
        <v>94.7</v>
      </c>
      <c r="P49" s="3">
        <v>34.7</v>
      </c>
      <c r="Q49" s="3">
        <v>0</v>
      </c>
    </row>
    <row r="50" spans="1:17">
      <c r="A50" t="s">
        <v>104</v>
      </c>
      <c r="B50" t="s">
        <v>105</v>
      </c>
      <c r="C50" s="3">
        <v>57.9</v>
      </c>
      <c r="D50" s="3">
        <v>1.99</v>
      </c>
      <c r="E50" s="3">
        <v>579.39</v>
      </c>
      <c r="F50" s="3">
        <v>57.54</v>
      </c>
      <c r="G50" s="3">
        <v>1</v>
      </c>
      <c r="H50" s="3">
        <v>2</v>
      </c>
      <c r="I50" s="3">
        <v>2</v>
      </c>
      <c r="J50" s="3">
        <v>4809.48</v>
      </c>
      <c r="K50" s="3">
        <v>105256.54</v>
      </c>
      <c r="L50" s="3">
        <v>9462.27</v>
      </c>
      <c r="M50" s="3">
        <v>0</v>
      </c>
      <c r="N50" s="3">
        <v>47.4</v>
      </c>
      <c r="O50" s="3">
        <v>95.3</v>
      </c>
      <c r="P50" s="3">
        <v>47.4</v>
      </c>
      <c r="Q50" s="3">
        <v>0</v>
      </c>
    </row>
    <row r="51" spans="1:17">
      <c r="A51" t="s">
        <v>106</v>
      </c>
      <c r="B51" t="s">
        <v>107</v>
      </c>
      <c r="C51" s="3">
        <v>57.72</v>
      </c>
      <c r="D51" s="3">
        <v>1.71</v>
      </c>
      <c r="E51" s="3">
        <v>574.11</v>
      </c>
      <c r="F51" s="3">
        <v>44.09</v>
      </c>
      <c r="G51" s="3">
        <v>1</v>
      </c>
      <c r="H51" s="3">
        <v>2</v>
      </c>
      <c r="I51" s="3">
        <v>2</v>
      </c>
      <c r="J51" s="3">
        <v>4990.1</v>
      </c>
      <c r="K51" s="3">
        <v>144651.47</v>
      </c>
      <c r="L51" s="3">
        <v>10450.92</v>
      </c>
      <c r="M51" s="3">
        <v>0</v>
      </c>
      <c r="N51" s="3">
        <v>27.7</v>
      </c>
      <c r="O51" s="3">
        <v>94.8</v>
      </c>
      <c r="P51" s="3">
        <v>27.7</v>
      </c>
      <c r="Q51" s="3">
        <v>0</v>
      </c>
    </row>
    <row r="52" spans="1:17">
      <c r="A52" t="s">
        <v>108</v>
      </c>
      <c r="B52" t="s">
        <v>109</v>
      </c>
      <c r="C52" s="3">
        <v>57.52</v>
      </c>
      <c r="D52" s="3">
        <v>2.12</v>
      </c>
      <c r="E52" s="3">
        <v>569.16</v>
      </c>
      <c r="F52" s="3">
        <v>46.99</v>
      </c>
      <c r="G52" s="3">
        <v>1</v>
      </c>
      <c r="H52" s="3">
        <v>2</v>
      </c>
      <c r="I52" s="3">
        <v>2</v>
      </c>
      <c r="J52" s="3">
        <v>4809.48</v>
      </c>
      <c r="K52" s="3">
        <v>100345.18</v>
      </c>
      <c r="L52" s="3">
        <v>9323.440000000001</v>
      </c>
      <c r="M52" s="3">
        <v>0</v>
      </c>
      <c r="N52" s="3">
        <v>49.8</v>
      </c>
      <c r="O52" s="3">
        <v>95.3</v>
      </c>
      <c r="P52" s="3">
        <v>49.8</v>
      </c>
      <c r="Q52" s="3">
        <v>0</v>
      </c>
    </row>
    <row r="53" spans="1:17">
      <c r="A53" t="s">
        <v>110</v>
      </c>
      <c r="B53" t="s">
        <v>111</v>
      </c>
      <c r="C53" s="3">
        <v>57.44</v>
      </c>
      <c r="D53" s="3">
        <v>2.06</v>
      </c>
      <c r="E53" s="3">
        <v>564.26</v>
      </c>
      <c r="F53" s="3">
        <v>77.69</v>
      </c>
      <c r="G53" s="3">
        <v>1</v>
      </c>
      <c r="H53" s="3">
        <v>2</v>
      </c>
      <c r="I53" s="3">
        <v>2</v>
      </c>
      <c r="J53" s="3">
        <v>4869.57</v>
      </c>
      <c r="K53" s="3">
        <v>100743</v>
      </c>
      <c r="L53" s="3">
        <v>9671.639999999999</v>
      </c>
      <c r="M53" s="3">
        <v>0</v>
      </c>
      <c r="N53" s="3">
        <v>49.6</v>
      </c>
      <c r="O53" s="3">
        <v>95.2</v>
      </c>
      <c r="P53" s="3">
        <v>49.6</v>
      </c>
      <c r="Q53" s="3">
        <v>0</v>
      </c>
    </row>
    <row r="54" spans="1:17">
      <c r="A54" t="s">
        <v>112</v>
      </c>
      <c r="B54" t="s">
        <v>113</v>
      </c>
      <c r="C54" s="3">
        <v>57.36</v>
      </c>
      <c r="D54" s="3">
        <v>1.75</v>
      </c>
      <c r="E54" s="3">
        <v>558.46</v>
      </c>
      <c r="F54" s="3">
        <v>44.27</v>
      </c>
      <c r="G54" s="3">
        <v>1</v>
      </c>
      <c r="H54" s="3">
        <v>2</v>
      </c>
      <c r="I54" s="3">
        <v>2</v>
      </c>
      <c r="J54" s="3">
        <v>5111.11</v>
      </c>
      <c r="K54" s="3">
        <v>128431.14</v>
      </c>
      <c r="L54" s="3">
        <v>11248.91</v>
      </c>
      <c r="M54" s="3">
        <v>0</v>
      </c>
      <c r="N54" s="3">
        <v>35.8</v>
      </c>
      <c r="O54" s="3">
        <v>94.40000000000001</v>
      </c>
      <c r="P54" s="3">
        <v>35.8</v>
      </c>
      <c r="Q54" s="3">
        <v>0</v>
      </c>
    </row>
    <row r="55" spans="1:17">
      <c r="A55" t="s">
        <v>114</v>
      </c>
      <c r="B55" t="s">
        <v>115</v>
      </c>
      <c r="C55" s="3">
        <v>57.15</v>
      </c>
      <c r="D55" s="3">
        <v>1.72</v>
      </c>
      <c r="E55" s="3">
        <v>553.3099999999999</v>
      </c>
      <c r="F55" s="3">
        <v>46.64</v>
      </c>
      <c r="G55" s="3">
        <v>1</v>
      </c>
      <c r="H55" s="3">
        <v>2</v>
      </c>
      <c r="I55" s="3">
        <v>2</v>
      </c>
      <c r="J55" s="3">
        <v>5111.11</v>
      </c>
      <c r="K55" s="3">
        <v>125176.47</v>
      </c>
      <c r="L55" s="3">
        <v>11102.4</v>
      </c>
      <c r="M55" s="3">
        <v>0</v>
      </c>
      <c r="N55" s="3">
        <v>37.4</v>
      </c>
      <c r="O55" s="3">
        <v>94.40000000000001</v>
      </c>
      <c r="P55" s="3">
        <v>37.4</v>
      </c>
      <c r="Q55" s="3">
        <v>0</v>
      </c>
    </row>
    <row r="56" spans="1:17">
      <c r="A56" t="s">
        <v>116</v>
      </c>
      <c r="B56" t="s">
        <v>117</v>
      </c>
      <c r="C56" s="3">
        <v>56.86</v>
      </c>
      <c r="D56" s="3">
        <v>1.79</v>
      </c>
      <c r="E56" s="3">
        <v>548.34</v>
      </c>
      <c r="F56" s="3">
        <v>47.47</v>
      </c>
      <c r="G56" s="3">
        <v>0</v>
      </c>
      <c r="H56" s="3">
        <v>1</v>
      </c>
      <c r="I56" s="3">
        <v>1</v>
      </c>
      <c r="J56" s="3">
        <v>5050.55</v>
      </c>
      <c r="K56" s="3">
        <v>126248.52</v>
      </c>
      <c r="L56" s="3">
        <v>10307.86</v>
      </c>
      <c r="M56" s="3">
        <v>0</v>
      </c>
      <c r="N56" s="3">
        <v>36.9</v>
      </c>
      <c r="O56" s="3">
        <v>94.8</v>
      </c>
      <c r="P56" s="3">
        <v>36.9</v>
      </c>
      <c r="Q56" s="3">
        <v>0</v>
      </c>
    </row>
    <row r="57" spans="1:17">
      <c r="A57" t="s">
        <v>118</v>
      </c>
      <c r="B57" t="s">
        <v>119</v>
      </c>
      <c r="C57" s="3">
        <v>56.75</v>
      </c>
      <c r="D57" s="3">
        <v>1.97</v>
      </c>
      <c r="E57" s="3">
        <v>543.34</v>
      </c>
      <c r="F57" s="3">
        <v>100.38</v>
      </c>
      <c r="G57" s="3">
        <v>0</v>
      </c>
      <c r="H57" s="3">
        <v>1</v>
      </c>
      <c r="I57" s="3">
        <v>1</v>
      </c>
      <c r="J57" s="3">
        <v>4990.1</v>
      </c>
      <c r="K57" s="3">
        <v>112306.01</v>
      </c>
      <c r="L57" s="3">
        <v>9882.35</v>
      </c>
      <c r="M57" s="3">
        <v>0</v>
      </c>
      <c r="N57" s="3">
        <v>43.8</v>
      </c>
      <c r="O57" s="3">
        <v>95.09999999999999</v>
      </c>
      <c r="P57" s="3">
        <v>43.8</v>
      </c>
      <c r="Q57" s="3">
        <v>0</v>
      </c>
    </row>
    <row r="58" spans="1:17">
      <c r="A58" t="s">
        <v>120</v>
      </c>
      <c r="B58" t="s">
        <v>121</v>
      </c>
      <c r="C58" s="3">
        <v>56.54</v>
      </c>
      <c r="D58" s="3">
        <v>1.13</v>
      </c>
      <c r="E58" s="3">
        <v>537.71</v>
      </c>
      <c r="F58" s="3">
        <v>52.03</v>
      </c>
      <c r="G58" s="3">
        <v>0</v>
      </c>
      <c r="H58" s="3">
        <v>1</v>
      </c>
      <c r="I58" s="3">
        <v>1</v>
      </c>
      <c r="J58" s="3">
        <v>5477.05</v>
      </c>
      <c r="K58" s="3">
        <v>144000</v>
      </c>
      <c r="L58" s="3">
        <v>12520.58</v>
      </c>
      <c r="M58" s="3">
        <v>0</v>
      </c>
      <c r="N58" s="3">
        <v>28</v>
      </c>
      <c r="O58" s="3">
        <v>93.7</v>
      </c>
      <c r="P58" s="3">
        <v>28</v>
      </c>
      <c r="Q58" s="3">
        <v>0</v>
      </c>
    </row>
    <row r="59" spans="1:17">
      <c r="A59" t="s">
        <v>122</v>
      </c>
      <c r="B59" t="s">
        <v>123</v>
      </c>
      <c r="C59" s="3">
        <v>56.32</v>
      </c>
      <c r="D59" s="3">
        <v>0.55</v>
      </c>
      <c r="E59" s="3">
        <v>532.05</v>
      </c>
      <c r="F59" s="3">
        <v>88.12</v>
      </c>
      <c r="G59" s="3">
        <v>1</v>
      </c>
      <c r="H59" s="3">
        <v>2</v>
      </c>
      <c r="I59" s="3">
        <v>2</v>
      </c>
      <c r="J59" s="3">
        <v>5785.36</v>
      </c>
      <c r="K59" s="3">
        <v>145307.19</v>
      </c>
      <c r="L59" s="3">
        <v>13762.17</v>
      </c>
      <c r="M59" s="3">
        <v>0</v>
      </c>
      <c r="N59" s="3">
        <v>27.3</v>
      </c>
      <c r="O59" s="3">
        <v>93.09999999999999</v>
      </c>
      <c r="P59" s="3">
        <v>27.3</v>
      </c>
      <c r="Q59" s="3">
        <v>0</v>
      </c>
    </row>
    <row r="60" spans="1:17">
      <c r="A60" t="s">
        <v>124</v>
      </c>
      <c r="B60" t="s">
        <v>125</v>
      </c>
      <c r="C60" s="3">
        <v>55.97</v>
      </c>
      <c r="D60" s="3">
        <v>0.24</v>
      </c>
      <c r="E60" s="3">
        <v>526.75</v>
      </c>
      <c r="F60" s="3">
        <v>74.48999999999999</v>
      </c>
      <c r="G60" s="3">
        <v>1</v>
      </c>
      <c r="H60" s="3">
        <v>2</v>
      </c>
      <c r="I60" s="3">
        <v>2</v>
      </c>
      <c r="J60" s="3">
        <v>6159.43</v>
      </c>
      <c r="K60" s="3">
        <v>166382.67</v>
      </c>
      <c r="L60" s="3">
        <v>14723.31</v>
      </c>
      <c r="M60" s="3">
        <v>0</v>
      </c>
      <c r="N60" s="3">
        <v>16.8</v>
      </c>
      <c r="O60" s="3">
        <v>92.59999999999999</v>
      </c>
      <c r="P60" s="3">
        <v>16.8</v>
      </c>
      <c r="Q60" s="3">
        <v>0</v>
      </c>
    </row>
    <row r="61" spans="1:17">
      <c r="A61" t="s">
        <v>126</v>
      </c>
      <c r="B61" t="s">
        <v>127</v>
      </c>
      <c r="C61" s="3">
        <v>55.56</v>
      </c>
      <c r="D61" s="3">
        <v>0</v>
      </c>
      <c r="E61" s="3">
        <v>521.16</v>
      </c>
      <c r="F61" s="3">
        <v>45.92</v>
      </c>
      <c r="G61" s="3">
        <v>1</v>
      </c>
      <c r="H61" s="3">
        <v>2</v>
      </c>
      <c r="I61" s="3">
        <v>2</v>
      </c>
      <c r="J61" s="3">
        <v>6474.65</v>
      </c>
      <c r="K61" s="3">
        <v>165582.73</v>
      </c>
      <c r="L61" s="3">
        <v>15378.91</v>
      </c>
      <c r="M61" s="3">
        <v>0</v>
      </c>
      <c r="N61" s="3">
        <v>17.2</v>
      </c>
      <c r="O61" s="3">
        <v>92.3</v>
      </c>
      <c r="P61" s="3">
        <v>17.2</v>
      </c>
      <c r="Q61" s="3">
        <v>0</v>
      </c>
    </row>
    <row r="62" spans="1:17">
      <c r="A62" t="s">
        <v>128</v>
      </c>
      <c r="B62" t="s">
        <v>129</v>
      </c>
      <c r="C62" s="3">
        <v>55.24</v>
      </c>
      <c r="D62" s="3">
        <v>0</v>
      </c>
      <c r="E62" s="3">
        <v>515.5700000000001</v>
      </c>
      <c r="F62" s="3">
        <v>45.45</v>
      </c>
      <c r="G62" s="3">
        <v>1</v>
      </c>
      <c r="H62" s="3">
        <v>2</v>
      </c>
      <c r="I62" s="3">
        <v>2</v>
      </c>
      <c r="J62" s="3">
        <v>7244.35</v>
      </c>
      <c r="K62" s="3">
        <v>171306.27</v>
      </c>
      <c r="L62" s="3">
        <v>18306.39</v>
      </c>
      <c r="M62" s="3">
        <v>0</v>
      </c>
      <c r="N62" s="3">
        <v>14.3</v>
      </c>
      <c r="O62" s="3">
        <v>90.8</v>
      </c>
      <c r="P62" s="3">
        <v>14.3</v>
      </c>
      <c r="Q62" s="3">
        <v>0</v>
      </c>
    </row>
    <row r="63" spans="1:17">
      <c r="A63" t="s">
        <v>130</v>
      </c>
      <c r="B63" t="s">
        <v>131</v>
      </c>
      <c r="C63" s="3">
        <v>54.99</v>
      </c>
      <c r="D63" s="3">
        <v>0.13</v>
      </c>
      <c r="E63" s="3">
        <v>509.52</v>
      </c>
      <c r="F63" s="3">
        <v>71.64</v>
      </c>
      <c r="G63" s="3">
        <v>1</v>
      </c>
      <c r="H63" s="3">
        <v>2</v>
      </c>
      <c r="I63" s="3">
        <v>2</v>
      </c>
      <c r="J63" s="3">
        <v>6601.63</v>
      </c>
      <c r="K63" s="3">
        <v>119498.58</v>
      </c>
      <c r="L63" s="3">
        <v>14723.31</v>
      </c>
      <c r="M63" s="3">
        <v>0</v>
      </c>
      <c r="N63" s="3">
        <v>40.3</v>
      </c>
      <c r="O63" s="3">
        <v>92.59999999999999</v>
      </c>
      <c r="P63" s="3">
        <v>40.3</v>
      </c>
      <c r="Q63" s="3">
        <v>0</v>
      </c>
    </row>
    <row r="64" spans="1:17">
      <c r="A64" t="s">
        <v>132</v>
      </c>
      <c r="B64" t="s">
        <v>133</v>
      </c>
      <c r="C64" s="3">
        <v>54.79</v>
      </c>
      <c r="D64" s="3">
        <v>0</v>
      </c>
      <c r="E64" s="3">
        <v>504.2</v>
      </c>
      <c r="F64" s="3">
        <v>46.04</v>
      </c>
      <c r="G64" s="3">
        <v>1</v>
      </c>
      <c r="H64" s="3">
        <v>2</v>
      </c>
      <c r="I64" s="3">
        <v>2</v>
      </c>
      <c r="J64" s="3">
        <v>6985.69</v>
      </c>
      <c r="K64" s="3">
        <v>147300.33</v>
      </c>
      <c r="L64" s="3">
        <v>15878.65</v>
      </c>
      <c r="M64" s="3">
        <v>0</v>
      </c>
      <c r="N64" s="3">
        <v>26.3</v>
      </c>
      <c r="O64" s="3">
        <v>92.09999999999999</v>
      </c>
      <c r="P64" s="3">
        <v>26.3</v>
      </c>
      <c r="Q64" s="3">
        <v>0</v>
      </c>
    </row>
    <row r="65" spans="1:17">
      <c r="A65" t="s">
        <v>134</v>
      </c>
      <c r="B65" t="s">
        <v>135</v>
      </c>
      <c r="C65" s="3">
        <v>54.53</v>
      </c>
      <c r="D65" s="3">
        <v>0</v>
      </c>
      <c r="E65" s="3">
        <v>498.46</v>
      </c>
      <c r="F65" s="3">
        <v>104.94</v>
      </c>
      <c r="G65" s="3">
        <v>1</v>
      </c>
      <c r="H65" s="3">
        <v>2</v>
      </c>
      <c r="I65" s="3">
        <v>2</v>
      </c>
      <c r="J65" s="3">
        <v>7374.49</v>
      </c>
      <c r="K65" s="3">
        <v>138936.71</v>
      </c>
      <c r="L65" s="3">
        <v>16470.59</v>
      </c>
      <c r="M65" s="3">
        <v>0</v>
      </c>
      <c r="N65" s="3">
        <v>30.5</v>
      </c>
      <c r="O65" s="3">
        <v>91.8</v>
      </c>
      <c r="P65" s="3">
        <v>30.5</v>
      </c>
      <c r="Q65" s="3">
        <v>0</v>
      </c>
    </row>
    <row r="66" spans="1:17">
      <c r="A66" t="s">
        <v>136</v>
      </c>
      <c r="B66" t="s">
        <v>137</v>
      </c>
      <c r="C66" s="3">
        <v>54.31</v>
      </c>
      <c r="D66" s="3">
        <v>0</v>
      </c>
      <c r="E66" s="3">
        <v>493.36</v>
      </c>
      <c r="F66" s="3">
        <v>41.95</v>
      </c>
      <c r="G66" s="3">
        <v>0</v>
      </c>
      <c r="H66" s="3">
        <v>1</v>
      </c>
      <c r="I66" s="3">
        <v>1</v>
      </c>
      <c r="J66" s="3">
        <v>7179.49</v>
      </c>
      <c r="K66" s="3">
        <v>140805.11</v>
      </c>
      <c r="L66" s="3">
        <v>15131.64</v>
      </c>
      <c r="M66" s="3">
        <v>0</v>
      </c>
      <c r="N66" s="3">
        <v>29.6</v>
      </c>
      <c r="O66" s="3">
        <v>92.40000000000001</v>
      </c>
      <c r="P66" s="3">
        <v>29.6</v>
      </c>
      <c r="Q66" s="3">
        <v>0</v>
      </c>
    </row>
    <row r="67" spans="1:17">
      <c r="A67" t="s">
        <v>138</v>
      </c>
      <c r="B67" t="s">
        <v>139</v>
      </c>
      <c r="C67" s="3">
        <v>53.93</v>
      </c>
      <c r="D67" s="3">
        <v>0</v>
      </c>
      <c r="E67" s="3">
        <v>488.89</v>
      </c>
      <c r="F67" s="3">
        <v>41.84</v>
      </c>
      <c r="G67" s="3">
        <v>0</v>
      </c>
      <c r="H67" s="3">
        <v>1</v>
      </c>
      <c r="I67" s="3">
        <v>1</v>
      </c>
      <c r="J67" s="3">
        <v>7636.36</v>
      </c>
      <c r="K67" s="3">
        <v>145307.19</v>
      </c>
      <c r="L67" s="3">
        <v>16727.27</v>
      </c>
      <c r="M67" s="3">
        <v>0</v>
      </c>
      <c r="N67" s="3">
        <v>27.3</v>
      </c>
      <c r="O67" s="3">
        <v>91.59999999999999</v>
      </c>
      <c r="P67" s="3">
        <v>27.3</v>
      </c>
      <c r="Q67" s="3">
        <v>0</v>
      </c>
    </row>
    <row r="68" spans="1:17">
      <c r="A68" t="s">
        <v>140</v>
      </c>
      <c r="B68" t="s">
        <v>141</v>
      </c>
      <c r="C68" s="3">
        <v>53.87</v>
      </c>
      <c r="D68" s="3">
        <v>0.28</v>
      </c>
      <c r="E68" s="3">
        <v>484.72</v>
      </c>
      <c r="F68" s="3">
        <v>77.86</v>
      </c>
      <c r="G68" s="3">
        <v>0</v>
      </c>
      <c r="H68" s="3">
        <v>0</v>
      </c>
      <c r="I68" s="3">
        <v>0</v>
      </c>
      <c r="J68" s="3">
        <v>6411.35</v>
      </c>
      <c r="K68" s="3">
        <v>98385.96000000001</v>
      </c>
      <c r="L68" s="3">
        <v>12368.48</v>
      </c>
      <c r="M68" s="3">
        <v>0</v>
      </c>
      <c r="N68" s="3">
        <v>50.8</v>
      </c>
      <c r="O68" s="3">
        <v>93.8</v>
      </c>
      <c r="P68" s="3">
        <v>50.8</v>
      </c>
      <c r="Q68" s="3">
        <v>0</v>
      </c>
    </row>
    <row r="69" spans="1:17">
      <c r="A69" t="s">
        <v>142</v>
      </c>
      <c r="B69" t="s">
        <v>143</v>
      </c>
      <c r="C69" s="3">
        <v>53.9</v>
      </c>
      <c r="D69" s="3">
        <v>0.29</v>
      </c>
      <c r="E69" s="3">
        <v>480.68</v>
      </c>
      <c r="F69" s="3">
        <v>60.68</v>
      </c>
      <c r="G69" s="3">
        <v>0</v>
      </c>
      <c r="H69" s="3">
        <v>0</v>
      </c>
      <c r="I69" s="3">
        <v>0</v>
      </c>
      <c r="J69" s="3">
        <v>6034.24</v>
      </c>
      <c r="K69" s="3">
        <v>96853.60000000001</v>
      </c>
      <c r="L69" s="3">
        <v>11618</v>
      </c>
      <c r="M69" s="3">
        <v>0</v>
      </c>
      <c r="N69" s="3">
        <v>51.6</v>
      </c>
      <c r="O69" s="3">
        <v>94.2</v>
      </c>
      <c r="P69" s="3">
        <v>51.6</v>
      </c>
      <c r="Q69" s="3">
        <v>0</v>
      </c>
    </row>
    <row r="70" spans="1:17">
      <c r="A70" t="s">
        <v>144</v>
      </c>
      <c r="B70" t="s">
        <v>145</v>
      </c>
      <c r="C70" s="3">
        <v>53.86</v>
      </c>
      <c r="D70" s="3">
        <v>0.31</v>
      </c>
      <c r="E70" s="3">
        <v>476.69</v>
      </c>
      <c r="F70" s="3">
        <v>47.05</v>
      </c>
      <c r="G70" s="3">
        <v>0</v>
      </c>
      <c r="H70" s="3">
        <v>0</v>
      </c>
      <c r="I70" s="3">
        <v>0</v>
      </c>
      <c r="J70" s="3">
        <v>6034.24</v>
      </c>
      <c r="K70" s="3">
        <v>91016.71000000001</v>
      </c>
      <c r="L70" s="3">
        <v>11618</v>
      </c>
      <c r="M70" s="3">
        <v>0</v>
      </c>
      <c r="N70" s="3">
        <v>54.5</v>
      </c>
      <c r="O70" s="3">
        <v>94.2</v>
      </c>
      <c r="P70" s="3">
        <v>54.5</v>
      </c>
      <c r="Q70" s="3">
        <v>0</v>
      </c>
    </row>
    <row r="71" spans="1:17">
      <c r="A71" t="s">
        <v>146</v>
      </c>
      <c r="B71" t="s">
        <v>147</v>
      </c>
      <c r="C71" s="3">
        <v>53.69</v>
      </c>
      <c r="D71" s="3">
        <v>0</v>
      </c>
      <c r="E71" s="3">
        <v>472.91</v>
      </c>
      <c r="F71" s="3">
        <v>90.37</v>
      </c>
      <c r="G71" s="3">
        <v>0</v>
      </c>
      <c r="H71" s="3">
        <v>0</v>
      </c>
      <c r="I71" s="3">
        <v>0</v>
      </c>
      <c r="J71" s="3">
        <v>6921.35</v>
      </c>
      <c r="K71" s="3">
        <v>120504.3</v>
      </c>
      <c r="L71" s="3">
        <v>14159.45</v>
      </c>
      <c r="M71" s="3">
        <v>0</v>
      </c>
      <c r="N71" s="3">
        <v>39.7</v>
      </c>
      <c r="O71" s="3">
        <v>92.90000000000001</v>
      </c>
      <c r="P71" s="3">
        <v>39.7</v>
      </c>
      <c r="Q71" s="3">
        <v>0</v>
      </c>
    </row>
    <row r="72" spans="1:17">
      <c r="A72" t="s">
        <v>148</v>
      </c>
      <c r="B72" t="s">
        <v>149</v>
      </c>
      <c r="C72" s="3">
        <v>53.48</v>
      </c>
      <c r="D72" s="3">
        <v>0.27</v>
      </c>
      <c r="E72" s="3">
        <v>469.05</v>
      </c>
      <c r="F72" s="3">
        <v>45.33</v>
      </c>
      <c r="G72" s="3">
        <v>0</v>
      </c>
      <c r="H72" s="3">
        <v>0</v>
      </c>
      <c r="I72" s="3">
        <v>0</v>
      </c>
      <c r="J72" s="3">
        <v>6159.43</v>
      </c>
      <c r="K72" s="3">
        <v>86592.59</v>
      </c>
      <c r="L72" s="3">
        <v>11469.88</v>
      </c>
      <c r="M72" s="3">
        <v>0</v>
      </c>
      <c r="N72" s="3">
        <v>56.7</v>
      </c>
      <c r="O72" s="3">
        <v>94.3</v>
      </c>
      <c r="P72" s="3">
        <v>56.7</v>
      </c>
      <c r="Q72" s="3">
        <v>0</v>
      </c>
    </row>
    <row r="73" spans="1:17">
      <c r="A73" t="s">
        <v>150</v>
      </c>
      <c r="B73" t="s">
        <v>151</v>
      </c>
      <c r="C73" s="3">
        <v>53.48</v>
      </c>
      <c r="D73" s="3">
        <v>0.32</v>
      </c>
      <c r="E73" s="3">
        <v>465.19</v>
      </c>
      <c r="F73" s="3">
        <v>50.72</v>
      </c>
      <c r="G73" s="3">
        <v>1</v>
      </c>
      <c r="H73" s="3">
        <v>1</v>
      </c>
      <c r="I73" s="3">
        <v>1</v>
      </c>
      <c r="J73" s="3">
        <v>5971.83</v>
      </c>
      <c r="K73" s="3">
        <v>89971.56</v>
      </c>
      <c r="L73" s="3">
        <v>11102.4</v>
      </c>
      <c r="M73" s="3">
        <v>0</v>
      </c>
      <c r="N73" s="3">
        <v>55</v>
      </c>
      <c r="O73" s="3">
        <v>94.40000000000001</v>
      </c>
      <c r="P73" s="3">
        <v>55</v>
      </c>
      <c r="Q73" s="3">
        <v>0</v>
      </c>
    </row>
    <row r="74" spans="1:17">
      <c r="A74" t="s">
        <v>152</v>
      </c>
      <c r="B74" t="s">
        <v>153</v>
      </c>
      <c r="C74" s="3">
        <v>53.37</v>
      </c>
      <c r="D74" s="3">
        <v>0.31</v>
      </c>
      <c r="E74" s="3">
        <v>461.37</v>
      </c>
      <c r="F74" s="3">
        <v>49.72</v>
      </c>
      <c r="G74" s="3">
        <v>1</v>
      </c>
      <c r="H74" s="3">
        <v>1</v>
      </c>
      <c r="I74" s="3">
        <v>1</v>
      </c>
      <c r="J74" s="3">
        <v>5785.36</v>
      </c>
      <c r="K74" s="3">
        <v>98385.96000000001</v>
      </c>
      <c r="L74" s="3">
        <v>10956.52</v>
      </c>
      <c r="M74" s="3">
        <v>0</v>
      </c>
      <c r="N74" s="3">
        <v>50.8</v>
      </c>
      <c r="O74" s="3">
        <v>94.5</v>
      </c>
      <c r="P74" s="3">
        <v>50.8</v>
      </c>
      <c r="Q74" s="3">
        <v>0</v>
      </c>
    </row>
    <row r="75" spans="1:17">
      <c r="A75" t="s">
        <v>154</v>
      </c>
      <c r="B75" t="s">
        <v>155</v>
      </c>
      <c r="C75" s="3">
        <v>53.19</v>
      </c>
      <c r="D75" s="3">
        <v>0</v>
      </c>
      <c r="E75" s="3">
        <v>457.18</v>
      </c>
      <c r="F75" s="3">
        <v>76.56</v>
      </c>
      <c r="G75" s="3">
        <v>1</v>
      </c>
      <c r="H75" s="3">
        <v>1</v>
      </c>
      <c r="I75" s="3">
        <v>1</v>
      </c>
      <c r="J75" s="3">
        <v>6285.14</v>
      </c>
      <c r="K75" s="3">
        <v>107395.23</v>
      </c>
      <c r="L75" s="3">
        <v>12217.05</v>
      </c>
      <c r="M75" s="3">
        <v>0</v>
      </c>
      <c r="N75" s="3">
        <v>46.3</v>
      </c>
      <c r="O75" s="3">
        <v>93.90000000000001</v>
      </c>
      <c r="P75" s="3">
        <v>46.3</v>
      </c>
      <c r="Q75" s="3">
        <v>0</v>
      </c>
    </row>
    <row r="76" spans="1:17">
      <c r="A76" t="s">
        <v>156</v>
      </c>
      <c r="B76" t="s">
        <v>157</v>
      </c>
      <c r="C76" s="3">
        <v>53.13</v>
      </c>
      <c r="D76" s="3">
        <v>0.23</v>
      </c>
      <c r="E76" s="3">
        <v>453.29</v>
      </c>
      <c r="F76" s="3">
        <v>44.09</v>
      </c>
      <c r="G76" s="3">
        <v>1</v>
      </c>
      <c r="H76" s="3">
        <v>1</v>
      </c>
      <c r="I76" s="3">
        <v>1</v>
      </c>
      <c r="J76" s="3">
        <v>5971.83</v>
      </c>
      <c r="K76" s="3">
        <v>89971.56</v>
      </c>
      <c r="L76" s="3">
        <v>11029.38</v>
      </c>
      <c r="M76" s="3">
        <v>0</v>
      </c>
      <c r="N76" s="3">
        <v>55</v>
      </c>
      <c r="O76" s="3">
        <v>94.5</v>
      </c>
      <c r="P76" s="3">
        <v>55</v>
      </c>
      <c r="Q76" s="3">
        <v>0</v>
      </c>
    </row>
    <row r="77" spans="1:17">
      <c r="A77" t="s">
        <v>158</v>
      </c>
      <c r="B77" t="s">
        <v>159</v>
      </c>
      <c r="C77" s="3">
        <v>53.05</v>
      </c>
      <c r="D77" s="3">
        <v>0.31</v>
      </c>
      <c r="E77" s="3">
        <v>449.51</v>
      </c>
      <c r="F77" s="3">
        <v>53.81</v>
      </c>
      <c r="G77" s="3">
        <v>1</v>
      </c>
      <c r="H77" s="3">
        <v>1</v>
      </c>
      <c r="I77" s="3">
        <v>1</v>
      </c>
      <c r="J77" s="3">
        <v>5785.36</v>
      </c>
      <c r="K77" s="3">
        <v>84000</v>
      </c>
      <c r="L77" s="3">
        <v>10666.67</v>
      </c>
      <c r="M77" s="3">
        <v>0</v>
      </c>
      <c r="N77" s="3">
        <v>58</v>
      </c>
      <c r="O77" s="3">
        <v>94.7</v>
      </c>
      <c r="P77" s="3">
        <v>58</v>
      </c>
      <c r="Q77" s="3">
        <v>0</v>
      </c>
    </row>
    <row r="78" spans="1:17">
      <c r="A78" t="s">
        <v>160</v>
      </c>
      <c r="B78" t="s">
        <v>161</v>
      </c>
      <c r="C78" s="3">
        <v>52.87</v>
      </c>
      <c r="D78" s="3">
        <v>0</v>
      </c>
      <c r="E78" s="3">
        <v>445.49</v>
      </c>
      <c r="F78" s="3">
        <v>46.58</v>
      </c>
      <c r="G78" s="3">
        <v>1</v>
      </c>
      <c r="H78" s="3">
        <v>1</v>
      </c>
      <c r="I78" s="3">
        <v>1</v>
      </c>
      <c r="J78" s="3">
        <v>6665.31</v>
      </c>
      <c r="K78" s="3">
        <v>93878.35000000001</v>
      </c>
      <c r="L78" s="3">
        <v>13135.8</v>
      </c>
      <c r="M78" s="3">
        <v>0</v>
      </c>
      <c r="N78" s="3">
        <v>53.1</v>
      </c>
      <c r="O78" s="3">
        <v>93.40000000000001</v>
      </c>
      <c r="P78" s="3">
        <v>53.1</v>
      </c>
      <c r="Q78" s="3">
        <v>0</v>
      </c>
    </row>
    <row r="79" spans="1:17">
      <c r="A79" t="s">
        <v>162</v>
      </c>
      <c r="B79" t="s">
        <v>163</v>
      </c>
      <c r="C79" s="3">
        <v>52.74</v>
      </c>
      <c r="D79" s="3">
        <v>0.17</v>
      </c>
      <c r="E79" s="3">
        <v>441.63</v>
      </c>
      <c r="F79" s="3">
        <v>81.23999999999999</v>
      </c>
      <c r="G79" s="3">
        <v>1</v>
      </c>
      <c r="H79" s="3">
        <v>1</v>
      </c>
      <c r="I79" s="3">
        <v>1</v>
      </c>
      <c r="J79" s="3">
        <v>6034.24</v>
      </c>
      <c r="K79" s="3">
        <v>89971.56</v>
      </c>
      <c r="L79" s="3">
        <v>11248.91</v>
      </c>
      <c r="M79" s="3">
        <v>0</v>
      </c>
      <c r="N79" s="3">
        <v>55</v>
      </c>
      <c r="O79" s="3">
        <v>94.40000000000001</v>
      </c>
      <c r="P79" s="3">
        <v>55</v>
      </c>
      <c r="Q79" s="3">
        <v>0</v>
      </c>
    </row>
    <row r="80" spans="1:17">
      <c r="A80" t="s">
        <v>164</v>
      </c>
      <c r="B80" t="s">
        <v>165</v>
      </c>
      <c r="C80" s="3">
        <v>52.6</v>
      </c>
      <c r="D80" s="3">
        <v>0.2</v>
      </c>
      <c r="E80" s="3">
        <v>437.25</v>
      </c>
      <c r="F80" s="3">
        <v>67.2</v>
      </c>
      <c r="G80" s="3">
        <v>1</v>
      </c>
      <c r="H80" s="3">
        <v>2</v>
      </c>
      <c r="I80" s="3">
        <v>2</v>
      </c>
      <c r="J80" s="3">
        <v>6096.77</v>
      </c>
      <c r="K80" s="3">
        <v>82426.97</v>
      </c>
      <c r="L80" s="3">
        <v>11248.91</v>
      </c>
      <c r="M80" s="3">
        <v>0</v>
      </c>
      <c r="N80" s="3">
        <v>58.8</v>
      </c>
      <c r="O80" s="3">
        <v>94.40000000000001</v>
      </c>
      <c r="P80" s="3">
        <v>58.8</v>
      </c>
      <c r="Q80" s="3">
        <v>0</v>
      </c>
    </row>
    <row r="81" spans="1:17">
      <c r="A81" t="s">
        <v>166</v>
      </c>
      <c r="B81" t="s">
        <v>167</v>
      </c>
      <c r="C81" s="3">
        <v>52.47</v>
      </c>
      <c r="D81" s="3">
        <v>0</v>
      </c>
      <c r="E81" s="3">
        <v>433.42</v>
      </c>
      <c r="F81" s="3">
        <v>46.46</v>
      </c>
      <c r="G81" s="3">
        <v>1</v>
      </c>
      <c r="H81" s="3">
        <v>2</v>
      </c>
      <c r="I81" s="3">
        <v>2</v>
      </c>
      <c r="J81" s="3">
        <v>6665.31</v>
      </c>
      <c r="K81" s="3">
        <v>101142.86</v>
      </c>
      <c r="L81" s="3">
        <v>12980.96</v>
      </c>
      <c r="M81" s="3">
        <v>0</v>
      </c>
      <c r="N81" s="3">
        <v>49.4</v>
      </c>
      <c r="O81" s="3">
        <v>93.5</v>
      </c>
      <c r="P81" s="3">
        <v>49.4</v>
      </c>
      <c r="Q81" s="3">
        <v>0</v>
      </c>
    </row>
    <row r="82" spans="1:17">
      <c r="A82" t="s">
        <v>168</v>
      </c>
      <c r="B82" t="s">
        <v>169</v>
      </c>
      <c r="C82" s="3">
        <v>52.38</v>
      </c>
      <c r="D82" s="3">
        <v>0</v>
      </c>
      <c r="E82" s="3">
        <v>429.75</v>
      </c>
      <c r="F82" s="3">
        <v>70.09999999999999</v>
      </c>
      <c r="G82" s="3">
        <v>1</v>
      </c>
      <c r="H82" s="3">
        <v>2</v>
      </c>
      <c r="I82" s="3">
        <v>2</v>
      </c>
      <c r="J82" s="3">
        <v>6538.07</v>
      </c>
      <c r="K82" s="3">
        <v>91016.71000000001</v>
      </c>
      <c r="L82" s="3">
        <v>12673.36</v>
      </c>
      <c r="M82" s="3">
        <v>0</v>
      </c>
      <c r="N82" s="3">
        <v>54.5</v>
      </c>
      <c r="O82" s="3">
        <v>93.7</v>
      </c>
      <c r="P82" s="3">
        <v>54.5</v>
      </c>
      <c r="Q82" s="3">
        <v>0</v>
      </c>
    </row>
    <row r="83" spans="1:17">
      <c r="A83" t="s">
        <v>170</v>
      </c>
      <c r="B83" t="s">
        <v>171</v>
      </c>
      <c r="C83" s="3">
        <v>52.22</v>
      </c>
      <c r="D83" s="3">
        <v>0</v>
      </c>
      <c r="E83" s="3">
        <v>425.79</v>
      </c>
      <c r="F83" s="3">
        <v>50.01</v>
      </c>
      <c r="G83" s="3">
        <v>1</v>
      </c>
      <c r="H83" s="3">
        <v>2</v>
      </c>
      <c r="I83" s="3">
        <v>2</v>
      </c>
      <c r="J83" s="3">
        <v>6985.69</v>
      </c>
      <c r="K83" s="3">
        <v>111847.41</v>
      </c>
      <c r="L83" s="3">
        <v>14239.45</v>
      </c>
      <c r="M83" s="3">
        <v>0</v>
      </c>
      <c r="N83" s="3">
        <v>44.1</v>
      </c>
      <c r="O83" s="3">
        <v>92.90000000000001</v>
      </c>
      <c r="P83" s="3">
        <v>44.1</v>
      </c>
      <c r="Q83" s="3">
        <v>0</v>
      </c>
    </row>
    <row r="84" spans="1:17">
      <c r="A84" t="s">
        <v>172</v>
      </c>
      <c r="B84" t="s">
        <v>173</v>
      </c>
      <c r="C84" s="3">
        <v>51.94</v>
      </c>
      <c r="D84" s="3">
        <v>0</v>
      </c>
      <c r="E84" s="3">
        <v>421.71</v>
      </c>
      <c r="F84" s="3">
        <v>68.20999999999999</v>
      </c>
      <c r="G84" s="3">
        <v>0</v>
      </c>
      <c r="H84" s="3">
        <v>1</v>
      </c>
      <c r="I84" s="3">
        <v>1</v>
      </c>
      <c r="J84" s="3">
        <v>7439.75</v>
      </c>
      <c r="K84" s="3">
        <v>130666.67</v>
      </c>
      <c r="L84" s="3">
        <v>15378.91</v>
      </c>
      <c r="M84" s="3">
        <v>0</v>
      </c>
      <c r="N84" s="3">
        <v>34.7</v>
      </c>
      <c r="O84" s="3">
        <v>92.3</v>
      </c>
      <c r="P84" s="3">
        <v>34.7</v>
      </c>
      <c r="Q84" s="3">
        <v>0</v>
      </c>
    </row>
    <row r="85" spans="1:17">
      <c r="A85" t="s">
        <v>174</v>
      </c>
      <c r="B85" t="s">
        <v>175</v>
      </c>
      <c r="C85" s="3">
        <v>51.77</v>
      </c>
      <c r="D85" s="3">
        <v>0.04</v>
      </c>
      <c r="E85" s="3">
        <v>417.99</v>
      </c>
      <c r="F85" s="3">
        <v>47.35</v>
      </c>
      <c r="G85" s="3">
        <v>0</v>
      </c>
      <c r="H85" s="3">
        <v>1</v>
      </c>
      <c r="I85" s="3">
        <v>1</v>
      </c>
      <c r="J85" s="3">
        <v>6793.07</v>
      </c>
      <c r="K85" s="3">
        <v>95351.35000000001</v>
      </c>
      <c r="L85" s="3">
        <v>13525.96</v>
      </c>
      <c r="M85" s="3">
        <v>0</v>
      </c>
      <c r="N85" s="3">
        <v>52.3</v>
      </c>
      <c r="O85" s="3">
        <v>93.2</v>
      </c>
      <c r="P85" s="3">
        <v>52.3</v>
      </c>
      <c r="Q85" s="3">
        <v>0</v>
      </c>
    </row>
    <row r="86" spans="1:17">
      <c r="A86" t="s">
        <v>176</v>
      </c>
      <c r="B86" t="s">
        <v>177</v>
      </c>
      <c r="C86" s="3">
        <v>51.54</v>
      </c>
      <c r="D86" s="3">
        <v>0</v>
      </c>
      <c r="E86" s="3">
        <v>414.51</v>
      </c>
      <c r="F86" s="3">
        <v>47.82</v>
      </c>
      <c r="G86" s="3">
        <v>0</v>
      </c>
      <c r="H86" s="3">
        <v>1</v>
      </c>
      <c r="I86" s="3">
        <v>1</v>
      </c>
      <c r="J86" s="3">
        <v>6921.35</v>
      </c>
      <c r="K86" s="3">
        <v>96098.77</v>
      </c>
      <c r="L86" s="3">
        <v>14000</v>
      </c>
      <c r="M86" s="3">
        <v>0</v>
      </c>
      <c r="N86" s="3">
        <v>52</v>
      </c>
      <c r="O86" s="3">
        <v>93</v>
      </c>
      <c r="P86" s="3">
        <v>52</v>
      </c>
      <c r="Q86" s="3">
        <v>0</v>
      </c>
    </row>
    <row r="87" spans="1:17">
      <c r="A87" t="s">
        <v>178</v>
      </c>
      <c r="B87" t="s">
        <v>179</v>
      </c>
      <c r="C87" s="3">
        <v>51.43</v>
      </c>
      <c r="D87" s="3">
        <v>0</v>
      </c>
      <c r="E87" s="3">
        <v>410.84</v>
      </c>
      <c r="F87" s="3">
        <v>53.39</v>
      </c>
      <c r="G87" s="3">
        <v>1</v>
      </c>
      <c r="H87" s="3">
        <v>2</v>
      </c>
      <c r="I87" s="3">
        <v>2</v>
      </c>
      <c r="J87" s="3">
        <v>6665.31</v>
      </c>
      <c r="K87" s="3">
        <v>87925.23</v>
      </c>
      <c r="L87" s="3">
        <v>13135.8</v>
      </c>
      <c r="M87" s="3">
        <v>0</v>
      </c>
      <c r="N87" s="3">
        <v>56</v>
      </c>
      <c r="O87" s="3">
        <v>93.40000000000001</v>
      </c>
      <c r="P87" s="3">
        <v>56</v>
      </c>
      <c r="Q87" s="3">
        <v>0</v>
      </c>
    </row>
    <row r="88" spans="1:17">
      <c r="A88" t="s">
        <v>180</v>
      </c>
      <c r="B88" t="s">
        <v>181</v>
      </c>
      <c r="C88" s="3">
        <v>51.31</v>
      </c>
      <c r="D88" s="3">
        <v>0</v>
      </c>
      <c r="E88" s="3">
        <v>407.15</v>
      </c>
      <c r="F88" s="3">
        <v>47.11</v>
      </c>
      <c r="G88" s="3">
        <v>1</v>
      </c>
      <c r="H88" s="3">
        <v>2</v>
      </c>
      <c r="I88" s="3">
        <v>2</v>
      </c>
      <c r="J88" s="3">
        <v>6729.12</v>
      </c>
      <c r="K88" s="3">
        <v>88600.94</v>
      </c>
      <c r="L88" s="3">
        <v>13447.58</v>
      </c>
      <c r="M88" s="3">
        <v>0</v>
      </c>
      <c r="N88" s="3">
        <v>55.7</v>
      </c>
      <c r="O88" s="3">
        <v>93.3</v>
      </c>
      <c r="P88" s="3">
        <v>55.7</v>
      </c>
      <c r="Q88" s="3">
        <v>0</v>
      </c>
    </row>
    <row r="89" spans="1:17">
      <c r="A89" t="s">
        <v>182</v>
      </c>
      <c r="B89" t="s">
        <v>183</v>
      </c>
      <c r="C89" s="3">
        <v>51.22</v>
      </c>
      <c r="D89" s="3">
        <v>0.07000000000000001</v>
      </c>
      <c r="E89" s="3">
        <v>403.59</v>
      </c>
      <c r="F89" s="3">
        <v>48.12</v>
      </c>
      <c r="G89" s="3">
        <v>1</v>
      </c>
      <c r="H89" s="3">
        <v>2</v>
      </c>
      <c r="I89" s="3">
        <v>2</v>
      </c>
      <c r="J89" s="3">
        <v>6474.65</v>
      </c>
      <c r="K89" s="3">
        <v>89283.02</v>
      </c>
      <c r="L89" s="3">
        <v>12444.44</v>
      </c>
      <c r="M89" s="3">
        <v>0</v>
      </c>
      <c r="N89" s="3">
        <v>55.4</v>
      </c>
      <c r="O89" s="3">
        <v>93.8</v>
      </c>
      <c r="P89" s="3">
        <v>55.4</v>
      </c>
      <c r="Q89" s="3">
        <v>0</v>
      </c>
    </row>
    <row r="90" spans="1:17">
      <c r="A90" t="s">
        <v>184</v>
      </c>
      <c r="B90" t="s">
        <v>185</v>
      </c>
      <c r="C90" s="3">
        <v>51.11</v>
      </c>
      <c r="D90" s="3">
        <v>0.25</v>
      </c>
      <c r="E90" s="3">
        <v>400.04</v>
      </c>
      <c r="F90" s="3">
        <v>53.15</v>
      </c>
      <c r="G90" s="3">
        <v>1</v>
      </c>
      <c r="H90" s="3">
        <v>2</v>
      </c>
      <c r="I90" s="3">
        <v>2</v>
      </c>
      <c r="J90" s="3">
        <v>6034.24</v>
      </c>
      <c r="K90" s="3">
        <v>84961.10000000001</v>
      </c>
      <c r="L90" s="3">
        <v>11322.4</v>
      </c>
      <c r="M90" s="3">
        <v>0</v>
      </c>
      <c r="N90" s="3">
        <v>57.5</v>
      </c>
      <c r="O90" s="3">
        <v>94.3</v>
      </c>
      <c r="P90" s="3">
        <v>57.5</v>
      </c>
      <c r="Q90" s="3">
        <v>0</v>
      </c>
    </row>
    <row r="91" spans="1:17">
      <c r="A91" t="s">
        <v>186</v>
      </c>
      <c r="B91" t="s">
        <v>187</v>
      </c>
      <c r="C91" s="3">
        <v>50.91</v>
      </c>
      <c r="D91" s="3">
        <v>0.05</v>
      </c>
      <c r="E91" s="3">
        <v>396.47</v>
      </c>
      <c r="F91" s="3">
        <v>50.61</v>
      </c>
      <c r="G91" s="3">
        <v>1</v>
      </c>
      <c r="H91" s="3">
        <v>2</v>
      </c>
      <c r="I91" s="3">
        <v>2</v>
      </c>
      <c r="J91" s="3">
        <v>6348.18</v>
      </c>
      <c r="K91" s="3">
        <v>86923.42999999999</v>
      </c>
      <c r="L91" s="3">
        <v>12141.59</v>
      </c>
      <c r="M91" s="3">
        <v>0</v>
      </c>
      <c r="N91" s="3">
        <v>56.5</v>
      </c>
      <c r="O91" s="3">
        <v>93.90000000000001</v>
      </c>
      <c r="P91" s="3">
        <v>56.5</v>
      </c>
      <c r="Q91" s="3">
        <v>0</v>
      </c>
    </row>
    <row r="92" spans="1:17">
      <c r="A92" t="s">
        <v>188</v>
      </c>
      <c r="B92" t="s">
        <v>189</v>
      </c>
      <c r="C92" s="3">
        <v>50.63</v>
      </c>
      <c r="D92" s="3">
        <v>0</v>
      </c>
      <c r="E92" s="3">
        <v>392.44</v>
      </c>
      <c r="F92" s="3">
        <v>49.24</v>
      </c>
      <c r="G92" s="3">
        <v>1</v>
      </c>
      <c r="H92" s="3">
        <v>2</v>
      </c>
      <c r="I92" s="3">
        <v>2</v>
      </c>
      <c r="J92" s="3">
        <v>6857.14</v>
      </c>
      <c r="K92" s="3">
        <v>110937.67</v>
      </c>
      <c r="L92" s="3">
        <v>13762.17</v>
      </c>
      <c r="M92" s="3">
        <v>0</v>
      </c>
      <c r="N92" s="3">
        <v>44.5</v>
      </c>
      <c r="O92" s="3">
        <v>93.09999999999999</v>
      </c>
      <c r="P92" s="3">
        <v>44.5</v>
      </c>
      <c r="Q92" s="3">
        <v>0</v>
      </c>
    </row>
    <row r="93" spans="1:17">
      <c r="A93" t="s">
        <v>190</v>
      </c>
      <c r="B93" t="s">
        <v>191</v>
      </c>
      <c r="C93" s="3">
        <v>50.22</v>
      </c>
      <c r="D93" s="3">
        <v>0</v>
      </c>
      <c r="E93" s="3">
        <v>388.46</v>
      </c>
      <c r="F93" s="3">
        <v>51.49</v>
      </c>
      <c r="G93" s="3">
        <v>1</v>
      </c>
      <c r="H93" s="3">
        <v>2</v>
      </c>
      <c r="I93" s="3">
        <v>2</v>
      </c>
      <c r="J93" s="3">
        <v>7768.12</v>
      </c>
      <c r="K93" s="3">
        <v>106532.98</v>
      </c>
      <c r="L93" s="3">
        <v>16470.59</v>
      </c>
      <c r="M93" s="3">
        <v>0</v>
      </c>
      <c r="N93" s="3">
        <v>46.7</v>
      </c>
      <c r="O93" s="3">
        <v>91.8</v>
      </c>
      <c r="P93" s="3">
        <v>46.7</v>
      </c>
      <c r="Q93" s="3">
        <v>0</v>
      </c>
    </row>
    <row r="94" spans="1:17">
      <c r="A94" t="s">
        <v>192</v>
      </c>
      <c r="B94" t="s">
        <v>193</v>
      </c>
      <c r="C94" s="3">
        <v>49.86</v>
      </c>
      <c r="D94" s="3">
        <v>0</v>
      </c>
      <c r="E94" s="3">
        <v>384.63</v>
      </c>
      <c r="F94" s="3">
        <v>48.71</v>
      </c>
      <c r="G94" s="3">
        <v>1</v>
      </c>
      <c r="H94" s="3">
        <v>2</v>
      </c>
      <c r="I94" s="3">
        <v>2</v>
      </c>
      <c r="J94" s="3">
        <v>8033.26</v>
      </c>
      <c r="K94" s="3">
        <v>120000</v>
      </c>
      <c r="L94" s="3">
        <v>17072.36</v>
      </c>
      <c r="M94" s="3">
        <v>0</v>
      </c>
      <c r="N94" s="3">
        <v>40</v>
      </c>
      <c r="O94" s="3">
        <v>91.5</v>
      </c>
      <c r="P94" s="3">
        <v>40</v>
      </c>
      <c r="Q94" s="3">
        <v>0</v>
      </c>
    </row>
    <row r="95" spans="1:17">
      <c r="A95" t="s">
        <v>194</v>
      </c>
      <c r="B95" t="s">
        <v>195</v>
      </c>
      <c r="C95" s="3">
        <v>49.51</v>
      </c>
      <c r="D95" s="3">
        <v>0</v>
      </c>
      <c r="E95" s="3">
        <v>380.85</v>
      </c>
      <c r="F95" s="3">
        <v>45.33</v>
      </c>
      <c r="G95" s="3">
        <v>1</v>
      </c>
      <c r="H95" s="3">
        <v>2</v>
      </c>
      <c r="I95" s="3">
        <v>2</v>
      </c>
      <c r="J95" s="3">
        <v>8367.82</v>
      </c>
      <c r="K95" s="3">
        <v>122550.72</v>
      </c>
      <c r="L95" s="3">
        <v>18396.14</v>
      </c>
      <c r="M95" s="3">
        <v>0</v>
      </c>
      <c r="N95" s="3">
        <v>38.7</v>
      </c>
      <c r="O95" s="3">
        <v>90.8</v>
      </c>
      <c r="P95" s="3">
        <v>38.7</v>
      </c>
      <c r="Q95" s="3">
        <v>0</v>
      </c>
    </row>
    <row r="96" spans="1:17">
      <c r="A96" t="s">
        <v>196</v>
      </c>
      <c r="B96" t="s">
        <v>197</v>
      </c>
      <c r="C96" s="3">
        <v>49.4</v>
      </c>
      <c r="D96" s="3">
        <v>0</v>
      </c>
      <c r="E96" s="3">
        <v>377.31</v>
      </c>
      <c r="F96" s="3">
        <v>56</v>
      </c>
      <c r="G96" s="3">
        <v>1</v>
      </c>
      <c r="H96" s="3">
        <v>2</v>
      </c>
      <c r="I96" s="3">
        <v>2</v>
      </c>
      <c r="J96" s="3">
        <v>7179.49</v>
      </c>
      <c r="K96" s="3">
        <v>102354.76</v>
      </c>
      <c r="L96" s="3">
        <v>14079.64</v>
      </c>
      <c r="M96" s="3">
        <v>0</v>
      </c>
      <c r="N96" s="3">
        <v>48.8</v>
      </c>
      <c r="O96" s="3">
        <v>93</v>
      </c>
      <c r="P96" s="3">
        <v>48.8</v>
      </c>
      <c r="Q96" s="3">
        <v>0</v>
      </c>
    </row>
    <row r="97" spans="1:17">
      <c r="A97" t="s">
        <v>198</v>
      </c>
      <c r="B97" t="s">
        <v>199</v>
      </c>
      <c r="C97" s="3">
        <v>49.12</v>
      </c>
      <c r="D97" s="3">
        <v>0</v>
      </c>
      <c r="E97" s="3">
        <v>373.79</v>
      </c>
      <c r="F97" s="3">
        <v>43.91</v>
      </c>
      <c r="G97" s="3">
        <v>0</v>
      </c>
      <c r="H97" s="3">
        <v>1</v>
      </c>
      <c r="I97" s="3">
        <v>1</v>
      </c>
      <c r="J97" s="3">
        <v>7900.41</v>
      </c>
      <c r="K97" s="3">
        <v>114637.12</v>
      </c>
      <c r="L97" s="3">
        <v>16727.27</v>
      </c>
      <c r="M97" s="3">
        <v>0</v>
      </c>
      <c r="N97" s="3">
        <v>42.7</v>
      </c>
      <c r="O97" s="3">
        <v>91.59999999999999</v>
      </c>
      <c r="P97" s="3">
        <v>42.7</v>
      </c>
      <c r="Q97" s="3">
        <v>0</v>
      </c>
    </row>
    <row r="98" spans="1:17">
      <c r="A98" t="s">
        <v>200</v>
      </c>
      <c r="B98" t="s">
        <v>201</v>
      </c>
      <c r="C98" s="3">
        <v>49.05</v>
      </c>
      <c r="D98" s="3">
        <v>0</v>
      </c>
      <c r="E98" s="3">
        <v>369.87</v>
      </c>
      <c r="F98" s="3">
        <v>44.09</v>
      </c>
      <c r="G98" s="3">
        <v>0</v>
      </c>
      <c r="H98" s="3">
        <v>1</v>
      </c>
      <c r="I98" s="3">
        <v>1</v>
      </c>
      <c r="J98" s="3">
        <v>7768.12</v>
      </c>
      <c r="K98" s="3">
        <v>116549.02</v>
      </c>
      <c r="L98" s="3">
        <v>16470.59</v>
      </c>
      <c r="M98" s="3">
        <v>0</v>
      </c>
      <c r="N98" s="3">
        <v>41.7</v>
      </c>
      <c r="O98" s="3">
        <v>91.8</v>
      </c>
      <c r="P98" s="3">
        <v>41.7</v>
      </c>
      <c r="Q98" s="3">
        <v>0</v>
      </c>
    </row>
    <row r="99" spans="1:17">
      <c r="A99" t="s">
        <v>202</v>
      </c>
      <c r="B99" t="s">
        <v>203</v>
      </c>
      <c r="C99" s="3">
        <v>48.87</v>
      </c>
      <c r="D99" s="3">
        <v>0</v>
      </c>
      <c r="E99" s="3">
        <v>366.12</v>
      </c>
      <c r="F99" s="3">
        <v>108.2</v>
      </c>
      <c r="G99" s="3">
        <v>0</v>
      </c>
      <c r="H99" s="3">
        <v>1</v>
      </c>
      <c r="I99" s="3">
        <v>1</v>
      </c>
      <c r="J99" s="3">
        <v>7702.17</v>
      </c>
      <c r="K99" s="3">
        <v>99163.73</v>
      </c>
      <c r="L99" s="3">
        <v>16470.59</v>
      </c>
      <c r="M99" s="3">
        <v>0</v>
      </c>
      <c r="N99" s="3">
        <v>50.4</v>
      </c>
      <c r="O99" s="3">
        <v>91.8</v>
      </c>
      <c r="P99" s="3">
        <v>50.4</v>
      </c>
      <c r="Q99" s="3">
        <v>0</v>
      </c>
    </row>
    <row r="100" spans="1:17">
      <c r="A100" t="s">
        <v>204</v>
      </c>
      <c r="B100" t="s">
        <v>205</v>
      </c>
      <c r="C100" s="3">
        <v>48.74</v>
      </c>
      <c r="D100" s="3">
        <v>0</v>
      </c>
      <c r="E100" s="3">
        <v>362.74</v>
      </c>
      <c r="F100" s="3">
        <v>66.72</v>
      </c>
      <c r="G100" s="3">
        <v>0</v>
      </c>
      <c r="H100" s="3">
        <v>1</v>
      </c>
      <c r="I100" s="3">
        <v>1</v>
      </c>
      <c r="J100" s="3">
        <v>7966.77</v>
      </c>
      <c r="K100" s="3">
        <v>116067.04</v>
      </c>
      <c r="L100" s="3">
        <v>17508.35</v>
      </c>
      <c r="M100" s="3">
        <v>0</v>
      </c>
      <c r="N100" s="3">
        <v>42</v>
      </c>
      <c r="O100" s="3">
        <v>91.2</v>
      </c>
      <c r="P100" s="3">
        <v>42</v>
      </c>
      <c r="Q100" s="3">
        <v>0</v>
      </c>
    </row>
    <row r="101" spans="1:17">
      <c r="A101" t="s">
        <v>206</v>
      </c>
      <c r="B101" t="s">
        <v>207</v>
      </c>
      <c r="C101" s="3">
        <v>48.63</v>
      </c>
      <c r="D101" s="3">
        <v>0</v>
      </c>
      <c r="E101" s="3">
        <v>359.36</v>
      </c>
      <c r="F101" s="3">
        <v>73.18000000000001</v>
      </c>
      <c r="G101" s="3">
        <v>0</v>
      </c>
      <c r="H101" s="3">
        <v>2</v>
      </c>
      <c r="I101" s="3">
        <v>2</v>
      </c>
      <c r="J101" s="3">
        <v>7570.69</v>
      </c>
      <c r="K101" s="3">
        <v>101142.86</v>
      </c>
      <c r="L101" s="3">
        <v>16046.78</v>
      </c>
      <c r="M101" s="3">
        <v>0</v>
      </c>
      <c r="N101" s="3">
        <v>49.4</v>
      </c>
      <c r="O101" s="3">
        <v>92</v>
      </c>
      <c r="P101" s="3">
        <v>49.4</v>
      </c>
      <c r="Q101" s="3">
        <v>0</v>
      </c>
    </row>
    <row r="102" spans="1:17">
      <c r="A102" t="s">
        <v>208</v>
      </c>
      <c r="B102" t="s">
        <v>209</v>
      </c>
      <c r="C102" s="3">
        <v>48.48</v>
      </c>
      <c r="D102" s="3">
        <v>0.04</v>
      </c>
      <c r="E102" s="3">
        <v>355.91</v>
      </c>
      <c r="F102" s="3">
        <v>49.78</v>
      </c>
      <c r="G102" s="3">
        <v>0</v>
      </c>
      <c r="H102" s="3">
        <v>2</v>
      </c>
      <c r="I102" s="3">
        <v>2</v>
      </c>
      <c r="J102" s="3">
        <v>7114.75</v>
      </c>
      <c r="K102" s="3">
        <v>93514.56</v>
      </c>
      <c r="L102" s="3">
        <v>14723.31</v>
      </c>
      <c r="M102" s="3">
        <v>0</v>
      </c>
      <c r="N102" s="3">
        <v>53.2</v>
      </c>
      <c r="O102" s="3">
        <v>92.59999999999999</v>
      </c>
      <c r="P102" s="3">
        <v>53.2</v>
      </c>
      <c r="Q102" s="3">
        <v>0</v>
      </c>
    </row>
    <row r="103" spans="1:17">
      <c r="A103" t="s">
        <v>210</v>
      </c>
      <c r="B103" t="s">
        <v>211</v>
      </c>
      <c r="C103" s="3">
        <v>48.22</v>
      </c>
      <c r="D103" s="3">
        <v>0</v>
      </c>
      <c r="E103" s="3">
        <v>351.95</v>
      </c>
      <c r="F103" s="3">
        <v>84.09</v>
      </c>
      <c r="G103" s="3">
        <v>0</v>
      </c>
      <c r="H103" s="3">
        <v>2</v>
      </c>
      <c r="I103" s="3">
        <v>2</v>
      </c>
      <c r="J103" s="3">
        <v>7702.17</v>
      </c>
      <c r="K103" s="3">
        <v>109147.45</v>
      </c>
      <c r="L103" s="3">
        <v>16727.27</v>
      </c>
      <c r="M103" s="3">
        <v>0</v>
      </c>
      <c r="N103" s="3">
        <v>45.4</v>
      </c>
      <c r="O103" s="3">
        <v>91.59999999999999</v>
      </c>
      <c r="P103" s="3">
        <v>45.4</v>
      </c>
      <c r="Q103" s="3">
        <v>0</v>
      </c>
    </row>
    <row r="104" spans="1:17">
      <c r="A104" t="s">
        <v>212</v>
      </c>
      <c r="B104" t="s">
        <v>213</v>
      </c>
      <c r="C104" s="3">
        <v>47.95</v>
      </c>
      <c r="D104" s="3">
        <v>0</v>
      </c>
      <c r="E104" s="3">
        <v>348.64</v>
      </c>
      <c r="F104" s="3">
        <v>56.59</v>
      </c>
      <c r="G104" s="3">
        <v>1</v>
      </c>
      <c r="H104" s="3">
        <v>3</v>
      </c>
      <c r="I104" s="3">
        <v>3</v>
      </c>
      <c r="J104" s="3">
        <v>7702.17</v>
      </c>
      <c r="K104" s="3">
        <v>111391.3</v>
      </c>
      <c r="L104" s="3">
        <v>16385.43</v>
      </c>
      <c r="M104" s="3">
        <v>0</v>
      </c>
      <c r="N104" s="3">
        <v>44.3</v>
      </c>
      <c r="O104" s="3">
        <v>91.8</v>
      </c>
      <c r="P104" s="3">
        <v>44.3</v>
      </c>
      <c r="Q104" s="3">
        <v>0</v>
      </c>
    </row>
    <row r="105" spans="1:17">
      <c r="A105" t="s">
        <v>214</v>
      </c>
      <c r="B105" t="s">
        <v>215</v>
      </c>
      <c r="C105" s="3">
        <v>47.64</v>
      </c>
      <c r="D105" s="3">
        <v>0</v>
      </c>
      <c r="E105" s="3">
        <v>345.22</v>
      </c>
      <c r="F105" s="3">
        <v>40.06</v>
      </c>
      <c r="G105" s="3">
        <v>1</v>
      </c>
      <c r="H105" s="3">
        <v>3</v>
      </c>
      <c r="I105" s="3">
        <v>3</v>
      </c>
      <c r="J105" s="3">
        <v>8435.15</v>
      </c>
      <c r="K105" s="3">
        <v>130666.67</v>
      </c>
      <c r="L105" s="3">
        <v>18576.27</v>
      </c>
      <c r="M105" s="3">
        <v>0</v>
      </c>
      <c r="N105" s="3">
        <v>34.7</v>
      </c>
      <c r="O105" s="3">
        <v>90.7</v>
      </c>
      <c r="P105" s="3">
        <v>34.7</v>
      </c>
      <c r="Q105" s="3">
        <v>0</v>
      </c>
    </row>
    <row r="106" spans="1:17">
      <c r="A106" t="s">
        <v>216</v>
      </c>
      <c r="B106" t="s">
        <v>217</v>
      </c>
      <c r="C106" s="3">
        <v>47.17</v>
      </c>
      <c r="D106" s="3">
        <v>0</v>
      </c>
      <c r="E106" s="3">
        <v>341.48</v>
      </c>
      <c r="F106" s="3">
        <v>111.4</v>
      </c>
      <c r="G106" s="3">
        <v>1</v>
      </c>
      <c r="H106" s="3">
        <v>3</v>
      </c>
      <c r="I106" s="3">
        <v>3</v>
      </c>
      <c r="J106" s="3">
        <v>9254.24</v>
      </c>
      <c r="K106" s="3">
        <v>134712.07</v>
      </c>
      <c r="L106" s="3">
        <v>21777.78</v>
      </c>
      <c r="M106" s="3">
        <v>0</v>
      </c>
      <c r="N106" s="3">
        <v>32.6</v>
      </c>
      <c r="O106" s="3">
        <v>89.09999999999999</v>
      </c>
      <c r="P106" s="3">
        <v>32.6</v>
      </c>
      <c r="Q106" s="3">
        <v>0</v>
      </c>
    </row>
    <row r="107" spans="1:17">
      <c r="A107" t="s">
        <v>218</v>
      </c>
      <c r="B107" t="s">
        <v>219</v>
      </c>
      <c r="C107" s="3">
        <v>46.92</v>
      </c>
      <c r="D107" s="3">
        <v>0</v>
      </c>
      <c r="E107" s="3">
        <v>338.1</v>
      </c>
      <c r="F107" s="3">
        <v>64.12</v>
      </c>
      <c r="G107" s="3">
        <v>1</v>
      </c>
      <c r="H107" s="3">
        <v>3</v>
      </c>
      <c r="I107" s="3">
        <v>3</v>
      </c>
      <c r="J107" s="3">
        <v>8099.9</v>
      </c>
      <c r="K107" s="3">
        <v>99555.56</v>
      </c>
      <c r="L107" s="3">
        <v>17772.46</v>
      </c>
      <c r="M107" s="3">
        <v>0</v>
      </c>
      <c r="N107" s="3">
        <v>50.2</v>
      </c>
      <c r="O107" s="3">
        <v>91.09999999999999</v>
      </c>
      <c r="P107" s="3">
        <v>50.2</v>
      </c>
      <c r="Q107" s="3">
        <v>0</v>
      </c>
    </row>
    <row r="108" spans="1:17">
      <c r="A108" t="s">
        <v>220</v>
      </c>
      <c r="B108" t="s">
        <v>221</v>
      </c>
      <c r="C108" s="3">
        <v>46.62</v>
      </c>
      <c r="D108" s="3">
        <v>0</v>
      </c>
      <c r="E108" s="3">
        <v>334.75</v>
      </c>
      <c r="F108" s="3">
        <v>46.22</v>
      </c>
      <c r="G108" s="3">
        <v>0</v>
      </c>
      <c r="H108" s="3">
        <v>2</v>
      </c>
      <c r="I108" s="3">
        <v>2</v>
      </c>
      <c r="J108" s="3">
        <v>8978.9</v>
      </c>
      <c r="K108" s="3">
        <v>122034.68</v>
      </c>
      <c r="L108" s="3">
        <v>20903.87</v>
      </c>
      <c r="M108" s="3">
        <v>0</v>
      </c>
      <c r="N108" s="3">
        <v>39</v>
      </c>
      <c r="O108" s="3">
        <v>89.5</v>
      </c>
      <c r="P108" s="3">
        <v>39</v>
      </c>
      <c r="Q108" s="3">
        <v>0</v>
      </c>
    </row>
    <row r="109" spans="1:17">
      <c r="A109" t="s">
        <v>222</v>
      </c>
      <c r="B109" t="s">
        <v>223</v>
      </c>
      <c r="C109" s="3">
        <v>46.36</v>
      </c>
      <c r="D109" s="3">
        <v>0</v>
      </c>
      <c r="E109" s="3">
        <v>331.37</v>
      </c>
      <c r="F109" s="3">
        <v>57.78</v>
      </c>
      <c r="G109" s="3">
        <v>0</v>
      </c>
      <c r="H109" s="3">
        <v>2</v>
      </c>
      <c r="I109" s="3">
        <v>2</v>
      </c>
      <c r="J109" s="3">
        <v>8570.23</v>
      </c>
      <c r="K109" s="3">
        <v>123591.84</v>
      </c>
      <c r="L109" s="3">
        <v>19030.45</v>
      </c>
      <c r="M109" s="3">
        <v>0</v>
      </c>
      <c r="N109" s="3">
        <v>38.2</v>
      </c>
      <c r="O109" s="3">
        <v>90.5</v>
      </c>
      <c r="P109" s="3">
        <v>38.2</v>
      </c>
      <c r="Q109" s="3">
        <v>0</v>
      </c>
    </row>
    <row r="110" spans="1:17">
      <c r="A110" t="s">
        <v>224</v>
      </c>
      <c r="B110" t="s">
        <v>225</v>
      </c>
      <c r="C110" s="3">
        <v>45.95</v>
      </c>
      <c r="D110" s="3">
        <v>0</v>
      </c>
      <c r="E110" s="3">
        <v>326.64</v>
      </c>
      <c r="F110" s="3">
        <v>42.61</v>
      </c>
      <c r="G110" s="3">
        <v>0</v>
      </c>
      <c r="H110" s="3">
        <v>1</v>
      </c>
      <c r="I110" s="3">
        <v>1</v>
      </c>
      <c r="J110" s="3">
        <v>9323.440000000001</v>
      </c>
      <c r="K110" s="3">
        <v>123069.77</v>
      </c>
      <c r="L110" s="3">
        <v>22073.51</v>
      </c>
      <c r="M110" s="3">
        <v>0</v>
      </c>
      <c r="N110" s="3">
        <v>38.5</v>
      </c>
      <c r="O110" s="3">
        <v>89</v>
      </c>
      <c r="P110" s="3">
        <v>38.5</v>
      </c>
      <c r="Q110" s="3">
        <v>0</v>
      </c>
    </row>
    <row r="111" spans="1:17">
      <c r="A111" t="s">
        <v>226</v>
      </c>
      <c r="B111" t="s">
        <v>227</v>
      </c>
      <c r="C111" s="3">
        <v>45.78</v>
      </c>
      <c r="D111" s="3">
        <v>0</v>
      </c>
      <c r="E111" s="3">
        <v>323.33</v>
      </c>
      <c r="F111" s="3">
        <v>47.11</v>
      </c>
      <c r="G111" s="3">
        <v>0</v>
      </c>
      <c r="H111" s="3">
        <v>1</v>
      </c>
      <c r="I111" s="3">
        <v>1</v>
      </c>
      <c r="J111" s="3">
        <v>8502.620000000001</v>
      </c>
      <c r="K111" s="3">
        <v>99555.56</v>
      </c>
      <c r="L111" s="3">
        <v>19305.62</v>
      </c>
      <c r="M111" s="3">
        <v>0</v>
      </c>
      <c r="N111" s="3">
        <v>50.2</v>
      </c>
      <c r="O111" s="3">
        <v>90.3</v>
      </c>
      <c r="P111" s="3">
        <v>50.2</v>
      </c>
      <c r="Q111" s="3">
        <v>0</v>
      </c>
    </row>
    <row r="112" spans="1:17">
      <c r="A112" t="s">
        <v>228</v>
      </c>
      <c r="B112" t="s">
        <v>229</v>
      </c>
      <c r="C112" s="3">
        <v>45.69</v>
      </c>
      <c r="D112" s="3">
        <v>0.05</v>
      </c>
      <c r="E112" s="3">
        <v>320.29</v>
      </c>
      <c r="F112" s="3">
        <v>69.39</v>
      </c>
      <c r="G112" s="3">
        <v>0</v>
      </c>
      <c r="H112" s="3">
        <v>1</v>
      </c>
      <c r="I112" s="3">
        <v>1</v>
      </c>
      <c r="J112" s="3">
        <v>7768.12</v>
      </c>
      <c r="K112" s="3">
        <v>98000</v>
      </c>
      <c r="L112" s="3">
        <v>16641.51</v>
      </c>
      <c r="M112" s="3">
        <v>0</v>
      </c>
      <c r="N112" s="3">
        <v>51</v>
      </c>
      <c r="O112" s="3">
        <v>91.7</v>
      </c>
      <c r="P112" s="3">
        <v>51</v>
      </c>
      <c r="Q112" s="3">
        <v>0</v>
      </c>
    </row>
    <row r="113" spans="1:17">
      <c r="A113" t="s">
        <v>230</v>
      </c>
      <c r="B113" t="s">
        <v>231</v>
      </c>
      <c r="C113" s="3">
        <v>45.61</v>
      </c>
      <c r="D113" s="3">
        <v>0</v>
      </c>
      <c r="E113" s="3">
        <v>317.25</v>
      </c>
      <c r="F113" s="3">
        <v>49.72</v>
      </c>
      <c r="G113" s="3">
        <v>0</v>
      </c>
      <c r="H113" s="3">
        <v>1</v>
      </c>
      <c r="I113" s="3">
        <v>1</v>
      </c>
      <c r="J113" s="3">
        <v>8099.9</v>
      </c>
      <c r="K113" s="3">
        <v>91016.71000000001</v>
      </c>
      <c r="L113" s="3">
        <v>17860.91</v>
      </c>
      <c r="M113" s="3">
        <v>0</v>
      </c>
      <c r="N113" s="3">
        <v>54.5</v>
      </c>
      <c r="O113" s="3">
        <v>91.09999999999999</v>
      </c>
      <c r="P113" s="3">
        <v>54.5</v>
      </c>
      <c r="Q113" s="3">
        <v>0</v>
      </c>
    </row>
    <row r="114" spans="1:17">
      <c r="A114" t="s">
        <v>232</v>
      </c>
      <c r="B114" t="s">
        <v>233</v>
      </c>
      <c r="C114" s="3">
        <v>45.51</v>
      </c>
      <c r="D114" s="3">
        <v>0.11</v>
      </c>
      <c r="E114" s="3">
        <v>314.23</v>
      </c>
      <c r="F114" s="3">
        <v>91.26000000000001</v>
      </c>
      <c r="G114" s="3">
        <v>0</v>
      </c>
      <c r="H114" s="3">
        <v>1</v>
      </c>
      <c r="I114" s="3">
        <v>1</v>
      </c>
      <c r="J114" s="3">
        <v>7702.17</v>
      </c>
      <c r="K114" s="3">
        <v>87589.74000000001</v>
      </c>
      <c r="L114" s="3">
        <v>16385.43</v>
      </c>
      <c r="M114" s="3">
        <v>0</v>
      </c>
      <c r="N114" s="3">
        <v>56.2</v>
      </c>
      <c r="O114" s="3">
        <v>91.8</v>
      </c>
      <c r="P114" s="3">
        <v>56.2</v>
      </c>
      <c r="Q114" s="3">
        <v>0</v>
      </c>
    </row>
    <row r="115" spans="1:17">
      <c r="A115" t="s">
        <v>234</v>
      </c>
      <c r="B115" t="s">
        <v>235</v>
      </c>
      <c r="C115" s="3">
        <v>45.45</v>
      </c>
      <c r="D115" s="3">
        <v>0.21</v>
      </c>
      <c r="E115" s="3">
        <v>311.37</v>
      </c>
      <c r="F115" s="3">
        <v>83.43000000000001</v>
      </c>
      <c r="G115" s="3">
        <v>0</v>
      </c>
      <c r="H115" s="3">
        <v>1</v>
      </c>
      <c r="I115" s="3">
        <v>1</v>
      </c>
      <c r="J115" s="3">
        <v>7439.75</v>
      </c>
      <c r="K115" s="3">
        <v>99555.56</v>
      </c>
      <c r="L115" s="3">
        <v>15711.29</v>
      </c>
      <c r="M115" s="3">
        <v>0</v>
      </c>
      <c r="N115" s="3">
        <v>50.2</v>
      </c>
      <c r="O115" s="3">
        <v>92.09999999999999</v>
      </c>
      <c r="P115" s="3">
        <v>50.2</v>
      </c>
      <c r="Q115" s="3">
        <v>0</v>
      </c>
    </row>
    <row r="116" spans="1:17">
      <c r="A116" t="s">
        <v>236</v>
      </c>
      <c r="B116" t="s">
        <v>237</v>
      </c>
      <c r="C116" s="3">
        <v>45.31</v>
      </c>
      <c r="D116" s="3">
        <v>0</v>
      </c>
      <c r="E116" s="3">
        <v>307.95</v>
      </c>
      <c r="F116" s="3">
        <v>104.94</v>
      </c>
      <c r="G116" s="3">
        <v>0</v>
      </c>
      <c r="H116" s="3">
        <v>0</v>
      </c>
      <c r="I116" s="3">
        <v>0</v>
      </c>
      <c r="J116" s="3">
        <v>8637.99</v>
      </c>
      <c r="K116" s="3">
        <v>110037.74</v>
      </c>
      <c r="L116" s="3">
        <v>20426.8</v>
      </c>
      <c r="M116" s="3">
        <v>0</v>
      </c>
      <c r="N116" s="3">
        <v>45</v>
      </c>
      <c r="O116" s="3">
        <v>89.8</v>
      </c>
      <c r="P116" s="3">
        <v>45</v>
      </c>
      <c r="Q116" s="3">
        <v>0</v>
      </c>
    </row>
    <row r="117" spans="1:17">
      <c r="A117" t="s">
        <v>238</v>
      </c>
      <c r="B117" t="s">
        <v>239</v>
      </c>
      <c r="C117" s="3">
        <v>45.17</v>
      </c>
      <c r="D117" s="3">
        <v>0</v>
      </c>
      <c r="E117" s="3">
        <v>304.9</v>
      </c>
      <c r="F117" s="3">
        <v>48.18</v>
      </c>
      <c r="G117" s="3">
        <v>0</v>
      </c>
      <c r="H117" s="3">
        <v>0</v>
      </c>
      <c r="I117" s="3">
        <v>0</v>
      </c>
      <c r="J117" s="3">
        <v>8570.23</v>
      </c>
      <c r="K117" s="3">
        <v>125176.47</v>
      </c>
      <c r="L117" s="3">
        <v>20143.39</v>
      </c>
      <c r="M117" s="3">
        <v>0</v>
      </c>
      <c r="N117" s="3">
        <v>37.4</v>
      </c>
      <c r="O117" s="3">
        <v>89.90000000000001</v>
      </c>
      <c r="P117" s="3">
        <v>37.4</v>
      </c>
      <c r="Q117" s="3">
        <v>0</v>
      </c>
    </row>
    <row r="118" spans="1:17">
      <c r="A118" t="s">
        <v>240</v>
      </c>
      <c r="B118" t="s">
        <v>241</v>
      </c>
      <c r="C118" s="3">
        <v>44.94</v>
      </c>
      <c r="D118" s="3">
        <v>0</v>
      </c>
      <c r="E118" s="3">
        <v>301.97</v>
      </c>
      <c r="F118" s="3">
        <v>66.13</v>
      </c>
      <c r="G118" s="3">
        <v>0</v>
      </c>
      <c r="H118" s="3">
        <v>1</v>
      </c>
      <c r="I118" s="3">
        <v>1</v>
      </c>
      <c r="J118" s="3">
        <v>9047.52</v>
      </c>
      <c r="K118" s="3">
        <v>110937.67</v>
      </c>
      <c r="L118" s="3">
        <v>21484.28</v>
      </c>
      <c r="M118" s="3">
        <v>0</v>
      </c>
      <c r="N118" s="3">
        <v>44.5</v>
      </c>
      <c r="O118" s="3">
        <v>89.3</v>
      </c>
      <c r="P118" s="3">
        <v>44.5</v>
      </c>
      <c r="Q118" s="3">
        <v>0</v>
      </c>
    </row>
    <row r="119" spans="1:17">
      <c r="A119" t="s">
        <v>242</v>
      </c>
      <c r="B119" t="s">
        <v>243</v>
      </c>
      <c r="C119" s="3">
        <v>44.83</v>
      </c>
      <c r="D119" s="3">
        <v>0.23</v>
      </c>
      <c r="E119" s="3">
        <v>299.03</v>
      </c>
      <c r="F119" s="3">
        <v>74.66</v>
      </c>
      <c r="G119" s="3">
        <v>0</v>
      </c>
      <c r="H119" s="3">
        <v>1</v>
      </c>
      <c r="I119" s="3">
        <v>1</v>
      </c>
      <c r="J119" s="3">
        <v>7768.12</v>
      </c>
      <c r="K119" s="3">
        <v>88262.3</v>
      </c>
      <c r="L119" s="3">
        <v>16813.24</v>
      </c>
      <c r="M119" s="3">
        <v>0</v>
      </c>
      <c r="N119" s="3">
        <v>55.9</v>
      </c>
      <c r="O119" s="3">
        <v>91.59999999999999</v>
      </c>
      <c r="P119" s="3">
        <v>55.9</v>
      </c>
      <c r="Q119" s="3">
        <v>0</v>
      </c>
    </row>
    <row r="120" spans="1:17">
      <c r="A120" t="s">
        <v>244</v>
      </c>
      <c r="B120" t="s">
        <v>245</v>
      </c>
      <c r="C120" s="3">
        <v>44.7</v>
      </c>
      <c r="D120" s="3">
        <v>0</v>
      </c>
      <c r="E120" s="3">
        <v>296</v>
      </c>
      <c r="F120" s="3">
        <v>106.66</v>
      </c>
      <c r="G120" s="3">
        <v>0</v>
      </c>
      <c r="H120" s="3">
        <v>1</v>
      </c>
      <c r="I120" s="3">
        <v>1</v>
      </c>
      <c r="J120" s="3">
        <v>8502.620000000001</v>
      </c>
      <c r="K120" s="3">
        <v>117033.71</v>
      </c>
      <c r="L120" s="3">
        <v>19955.61</v>
      </c>
      <c r="M120" s="3">
        <v>0</v>
      </c>
      <c r="N120" s="3">
        <v>41.5</v>
      </c>
      <c r="O120" s="3">
        <v>90</v>
      </c>
      <c r="P120" s="3">
        <v>41.5</v>
      </c>
      <c r="Q120" s="3">
        <v>0</v>
      </c>
    </row>
    <row r="121" spans="1:17">
      <c r="A121" t="s">
        <v>246</v>
      </c>
      <c r="B121" t="s">
        <v>247</v>
      </c>
      <c r="C121" s="3">
        <v>44.52</v>
      </c>
      <c r="D121" s="3">
        <v>0.33</v>
      </c>
      <c r="E121" s="3">
        <v>293.23</v>
      </c>
      <c r="F121" s="3">
        <v>75.67</v>
      </c>
      <c r="G121" s="3">
        <v>0</v>
      </c>
      <c r="H121" s="3">
        <v>1</v>
      </c>
      <c r="I121" s="3">
        <v>1</v>
      </c>
      <c r="J121" s="3">
        <v>7768.12</v>
      </c>
      <c r="K121" s="3">
        <v>97233.83</v>
      </c>
      <c r="L121" s="3">
        <v>17420.74</v>
      </c>
      <c r="M121" s="3">
        <v>0</v>
      </c>
      <c r="N121" s="3">
        <v>51.4</v>
      </c>
      <c r="O121" s="3">
        <v>91.3</v>
      </c>
      <c r="P121" s="3">
        <v>51.4</v>
      </c>
      <c r="Q121" s="3">
        <v>0</v>
      </c>
    </row>
    <row r="122" spans="1:17">
      <c r="A122" t="s">
        <v>248</v>
      </c>
      <c r="B122" t="s">
        <v>249</v>
      </c>
      <c r="C122" s="3">
        <v>44.33</v>
      </c>
      <c r="D122" s="3">
        <v>0.02</v>
      </c>
      <c r="E122" s="3">
        <v>290.02</v>
      </c>
      <c r="F122" s="3">
        <v>58.96</v>
      </c>
      <c r="G122" s="3">
        <v>0</v>
      </c>
      <c r="H122" s="3">
        <v>1</v>
      </c>
      <c r="I122" s="3">
        <v>1</v>
      </c>
      <c r="J122" s="3">
        <v>8435.15</v>
      </c>
      <c r="K122" s="3">
        <v>107395.23</v>
      </c>
      <c r="L122" s="3">
        <v>19955.61</v>
      </c>
      <c r="M122" s="3">
        <v>0</v>
      </c>
      <c r="N122" s="3">
        <v>46.3</v>
      </c>
      <c r="O122" s="3">
        <v>90</v>
      </c>
      <c r="P122" s="3">
        <v>46.3</v>
      </c>
      <c r="Q122" s="3">
        <v>0</v>
      </c>
    </row>
    <row r="123" spans="1:17">
      <c r="A123" t="s">
        <v>250</v>
      </c>
      <c r="B123" t="s">
        <v>251</v>
      </c>
      <c r="C123" s="3">
        <v>44</v>
      </c>
      <c r="D123" s="3">
        <v>0</v>
      </c>
      <c r="E123" s="3">
        <v>286.92</v>
      </c>
      <c r="F123" s="3">
        <v>77.39</v>
      </c>
      <c r="G123" s="3">
        <v>0</v>
      </c>
      <c r="H123" s="3">
        <v>1</v>
      </c>
      <c r="I123" s="3">
        <v>1</v>
      </c>
      <c r="J123" s="3">
        <v>9323.440000000001</v>
      </c>
      <c r="K123" s="3">
        <v>125710.91</v>
      </c>
      <c r="L123" s="3">
        <v>22974.36</v>
      </c>
      <c r="M123" s="3">
        <v>0</v>
      </c>
      <c r="N123" s="3">
        <v>37.1</v>
      </c>
      <c r="O123" s="3">
        <v>88.5</v>
      </c>
      <c r="P123" s="3">
        <v>37.1</v>
      </c>
      <c r="Q123" s="3">
        <v>0</v>
      </c>
    </row>
    <row r="124" spans="1:17">
      <c r="A124" t="s">
        <v>252</v>
      </c>
      <c r="B124" t="s">
        <v>253</v>
      </c>
      <c r="C124" s="3">
        <v>43.7</v>
      </c>
      <c r="D124" s="3">
        <v>0</v>
      </c>
      <c r="E124" s="3">
        <v>283.85</v>
      </c>
      <c r="F124" s="3">
        <v>63.41</v>
      </c>
      <c r="G124" s="3">
        <v>0</v>
      </c>
      <c r="H124" s="3">
        <v>1</v>
      </c>
      <c r="I124" s="3">
        <v>1</v>
      </c>
      <c r="J124" s="3">
        <v>9601.700000000001</v>
      </c>
      <c r="K124" s="3">
        <v>119000</v>
      </c>
      <c r="L124" s="3">
        <v>24000</v>
      </c>
      <c r="M124" s="3">
        <v>0</v>
      </c>
      <c r="N124" s="3">
        <v>40.5</v>
      </c>
      <c r="O124" s="3">
        <v>88</v>
      </c>
      <c r="P124" s="3">
        <v>40.5</v>
      </c>
      <c r="Q124" s="3">
        <v>0</v>
      </c>
    </row>
    <row r="125" spans="1:17">
      <c r="A125" t="s">
        <v>254</v>
      </c>
      <c r="B125" t="s">
        <v>255</v>
      </c>
      <c r="C125" s="3">
        <v>43.53</v>
      </c>
      <c r="D125" s="3">
        <v>0.15</v>
      </c>
      <c r="E125" s="3">
        <v>280.95</v>
      </c>
      <c r="F125" s="3">
        <v>68.62</v>
      </c>
      <c r="G125" s="3">
        <v>0</v>
      </c>
      <c r="H125" s="3">
        <v>1</v>
      </c>
      <c r="I125" s="3">
        <v>1</v>
      </c>
      <c r="J125" s="3">
        <v>8502.620000000001</v>
      </c>
      <c r="K125" s="3">
        <v>101948.72</v>
      </c>
      <c r="L125" s="3">
        <v>20049.38</v>
      </c>
      <c r="M125" s="3">
        <v>0</v>
      </c>
      <c r="N125" s="3">
        <v>49</v>
      </c>
      <c r="O125" s="3">
        <v>90</v>
      </c>
      <c r="P125" s="3">
        <v>49</v>
      </c>
      <c r="Q125" s="3">
        <v>0</v>
      </c>
    </row>
    <row r="126" spans="1:17">
      <c r="A126" t="s">
        <v>256</v>
      </c>
      <c r="B126" t="s">
        <v>257</v>
      </c>
      <c r="C126" s="3">
        <v>43.35</v>
      </c>
      <c r="D126" s="3">
        <v>0.05</v>
      </c>
      <c r="E126" s="3">
        <v>277.92</v>
      </c>
      <c r="F126" s="3">
        <v>53.57</v>
      </c>
      <c r="G126" s="3">
        <v>0</v>
      </c>
      <c r="H126" s="3">
        <v>1</v>
      </c>
      <c r="I126" s="3">
        <v>1</v>
      </c>
      <c r="J126" s="3">
        <v>8773.92</v>
      </c>
      <c r="K126" s="3">
        <v>100345.18</v>
      </c>
      <c r="L126" s="3">
        <v>21000</v>
      </c>
      <c r="M126" s="3">
        <v>0</v>
      </c>
      <c r="N126" s="3">
        <v>49.8</v>
      </c>
      <c r="O126" s="3">
        <v>89.5</v>
      </c>
      <c r="P126" s="3">
        <v>49.8</v>
      </c>
      <c r="Q126" s="3">
        <v>0</v>
      </c>
    </row>
    <row r="127" spans="1:17">
      <c r="A127" t="s">
        <v>258</v>
      </c>
      <c r="B127" t="s">
        <v>259</v>
      </c>
      <c r="C127" s="3">
        <v>43.15</v>
      </c>
      <c r="D127" s="3">
        <v>0</v>
      </c>
      <c r="E127" s="3">
        <v>274.93</v>
      </c>
      <c r="F127" s="3">
        <v>95.88</v>
      </c>
      <c r="G127" s="3">
        <v>0</v>
      </c>
      <c r="H127" s="3">
        <v>1</v>
      </c>
      <c r="I127" s="3">
        <v>1</v>
      </c>
      <c r="J127" s="3">
        <v>8978.9</v>
      </c>
      <c r="K127" s="3">
        <v>121521.61</v>
      </c>
      <c r="L127" s="3">
        <v>21974.68</v>
      </c>
      <c r="M127" s="3">
        <v>0</v>
      </c>
      <c r="N127" s="3">
        <v>39.2</v>
      </c>
      <c r="O127" s="3">
        <v>89</v>
      </c>
      <c r="P127" s="3">
        <v>39.2</v>
      </c>
      <c r="Q127" s="3">
        <v>0</v>
      </c>
    </row>
    <row r="128" spans="1:17">
      <c r="A128" t="s">
        <v>260</v>
      </c>
      <c r="B128" t="s">
        <v>261</v>
      </c>
      <c r="C128" s="3">
        <v>42.86</v>
      </c>
      <c r="D128" s="3">
        <v>0</v>
      </c>
      <c r="E128" s="3">
        <v>271.86</v>
      </c>
      <c r="F128" s="3">
        <v>102.16</v>
      </c>
      <c r="G128" s="3">
        <v>0</v>
      </c>
      <c r="H128" s="3">
        <v>0</v>
      </c>
      <c r="I128" s="3">
        <v>0</v>
      </c>
      <c r="J128" s="3">
        <v>9462.27</v>
      </c>
      <c r="K128" s="3">
        <v>119498.58</v>
      </c>
      <c r="L128" s="3">
        <v>23586.56</v>
      </c>
      <c r="M128" s="3">
        <v>0</v>
      </c>
      <c r="N128" s="3">
        <v>40.3</v>
      </c>
      <c r="O128" s="3">
        <v>88.2</v>
      </c>
      <c r="P128" s="3">
        <v>40.3</v>
      </c>
      <c r="Q128" s="3">
        <v>0</v>
      </c>
    </row>
    <row r="129" spans="1:17">
      <c r="A129" t="s">
        <v>262</v>
      </c>
      <c r="B129" t="s">
        <v>263</v>
      </c>
      <c r="C129" s="3">
        <v>42.55</v>
      </c>
      <c r="D129" s="3">
        <v>0</v>
      </c>
      <c r="E129" s="3">
        <v>268.88</v>
      </c>
      <c r="F129" s="3">
        <v>39.47</v>
      </c>
      <c r="G129" s="3">
        <v>0</v>
      </c>
      <c r="H129" s="3">
        <v>0</v>
      </c>
      <c r="I129" s="3">
        <v>0</v>
      </c>
      <c r="J129" s="3">
        <v>9671.639999999999</v>
      </c>
      <c r="K129" s="3">
        <v>122550.72</v>
      </c>
      <c r="L129" s="3">
        <v>24733.94</v>
      </c>
      <c r="M129" s="3">
        <v>0</v>
      </c>
      <c r="N129" s="3">
        <v>38.7</v>
      </c>
      <c r="O129" s="3">
        <v>87.59999999999999</v>
      </c>
      <c r="P129" s="3">
        <v>38.7</v>
      </c>
      <c r="Q129" s="3">
        <v>0</v>
      </c>
    </row>
    <row r="130" spans="1:17">
      <c r="A130" t="s">
        <v>264</v>
      </c>
      <c r="B130" t="s">
        <v>265</v>
      </c>
      <c r="C130" s="3">
        <v>42.23</v>
      </c>
      <c r="D130" s="3">
        <v>0</v>
      </c>
      <c r="E130" s="3">
        <v>265.98</v>
      </c>
      <c r="F130" s="3">
        <v>102.93</v>
      </c>
      <c r="G130" s="3">
        <v>0</v>
      </c>
      <c r="H130" s="3">
        <v>0</v>
      </c>
      <c r="I130" s="3">
        <v>0</v>
      </c>
      <c r="J130" s="3">
        <v>9811.969999999999</v>
      </c>
      <c r="K130" s="3">
        <v>118504.25</v>
      </c>
      <c r="L130" s="3">
        <v>25266.49</v>
      </c>
      <c r="M130" s="3">
        <v>0</v>
      </c>
      <c r="N130" s="3">
        <v>40.7</v>
      </c>
      <c r="O130" s="3">
        <v>87.40000000000001</v>
      </c>
      <c r="P130" s="3">
        <v>40.7</v>
      </c>
      <c r="Q130" s="3">
        <v>0</v>
      </c>
    </row>
    <row r="131" spans="1:17">
      <c r="A131" t="s">
        <v>266</v>
      </c>
      <c r="B131" t="s">
        <v>267</v>
      </c>
      <c r="C131" s="3">
        <v>41.94</v>
      </c>
      <c r="D131" s="3">
        <v>0.13</v>
      </c>
      <c r="E131" s="3">
        <v>263.11</v>
      </c>
      <c r="F131" s="3">
        <v>109.86</v>
      </c>
      <c r="G131" s="3">
        <v>0</v>
      </c>
      <c r="H131" s="3">
        <v>0</v>
      </c>
      <c r="I131" s="3">
        <v>0</v>
      </c>
      <c r="J131" s="3">
        <v>9741.73</v>
      </c>
      <c r="K131" s="3">
        <v>107395.23</v>
      </c>
      <c r="L131" s="3">
        <v>25266.49</v>
      </c>
      <c r="M131" s="3">
        <v>0</v>
      </c>
      <c r="N131" s="3">
        <v>46.3</v>
      </c>
      <c r="O131" s="3">
        <v>87.40000000000001</v>
      </c>
      <c r="P131" s="3">
        <v>46.3</v>
      </c>
      <c r="Q131" s="3">
        <v>0</v>
      </c>
    </row>
    <row r="132" spans="1:17">
      <c r="A132" t="s">
        <v>268</v>
      </c>
      <c r="B132" t="s">
        <v>269</v>
      </c>
      <c r="C132" s="3">
        <v>41.72</v>
      </c>
      <c r="D132" s="3">
        <v>0</v>
      </c>
      <c r="E132" s="3">
        <v>260.23</v>
      </c>
      <c r="F132" s="3">
        <v>43.14</v>
      </c>
      <c r="G132" s="3">
        <v>0</v>
      </c>
      <c r="H132" s="3">
        <v>1</v>
      </c>
      <c r="I132" s="3">
        <v>1</v>
      </c>
      <c r="J132" s="3">
        <v>9254.24</v>
      </c>
      <c r="K132" s="3">
        <v>122550.72</v>
      </c>
      <c r="L132" s="3">
        <v>23896.24</v>
      </c>
      <c r="M132" s="3">
        <v>0</v>
      </c>
      <c r="N132" s="3">
        <v>38.7</v>
      </c>
      <c r="O132" s="3">
        <v>88.09999999999999</v>
      </c>
      <c r="P132" s="3">
        <v>38.7</v>
      </c>
      <c r="Q132" s="3">
        <v>0</v>
      </c>
    </row>
    <row r="133" spans="1:17">
      <c r="A133" t="s">
        <v>270</v>
      </c>
      <c r="B133" t="s">
        <v>271</v>
      </c>
      <c r="C133" s="3">
        <v>41.49</v>
      </c>
      <c r="D133" s="3">
        <v>0.18</v>
      </c>
      <c r="E133" s="3">
        <v>256.98</v>
      </c>
      <c r="F133" s="3">
        <v>88.17</v>
      </c>
      <c r="G133" s="3">
        <v>0</v>
      </c>
      <c r="H133" s="3">
        <v>1</v>
      </c>
      <c r="I133" s="3">
        <v>1</v>
      </c>
      <c r="J133" s="3">
        <v>9601.700000000001</v>
      </c>
      <c r="K133" s="3">
        <v>99555.56</v>
      </c>
      <c r="L133" s="3">
        <v>24208.33</v>
      </c>
      <c r="M133" s="3">
        <v>0</v>
      </c>
      <c r="N133" s="3">
        <v>50.2</v>
      </c>
      <c r="O133" s="3">
        <v>87.90000000000001</v>
      </c>
      <c r="P133" s="3">
        <v>50.2</v>
      </c>
      <c r="Q133" s="3">
        <v>0</v>
      </c>
    </row>
    <row r="134" spans="1:17">
      <c r="A134" t="s">
        <v>272</v>
      </c>
      <c r="B134" t="s">
        <v>273</v>
      </c>
      <c r="C134" s="3">
        <v>41.38</v>
      </c>
      <c r="D134" s="3">
        <v>0.22</v>
      </c>
      <c r="E134" s="3">
        <v>253.34</v>
      </c>
      <c r="F134" s="3">
        <v>72.95</v>
      </c>
      <c r="G134" s="3">
        <v>0</v>
      </c>
      <c r="H134" s="3">
        <v>1</v>
      </c>
      <c r="I134" s="3">
        <v>1</v>
      </c>
      <c r="J134" s="3">
        <v>8773.92</v>
      </c>
      <c r="K134" s="3">
        <v>96475.25</v>
      </c>
      <c r="L134" s="3">
        <v>21386.93</v>
      </c>
      <c r="M134" s="3">
        <v>0</v>
      </c>
      <c r="N134" s="3">
        <v>51.8</v>
      </c>
      <c r="O134" s="3">
        <v>89.3</v>
      </c>
      <c r="P134" s="3">
        <v>51.8</v>
      </c>
      <c r="Q134" s="3">
        <v>0</v>
      </c>
    </row>
    <row r="135" spans="1:17">
      <c r="A135" t="s">
        <v>274</v>
      </c>
      <c r="B135" t="s">
        <v>275</v>
      </c>
      <c r="C135" s="3">
        <v>41.14</v>
      </c>
      <c r="D135" s="3">
        <v>0</v>
      </c>
      <c r="E135" s="3">
        <v>250.32</v>
      </c>
      <c r="F135" s="3">
        <v>49.78</v>
      </c>
      <c r="G135" s="3">
        <v>0</v>
      </c>
      <c r="H135" s="3">
        <v>1</v>
      </c>
      <c r="I135" s="3">
        <v>1</v>
      </c>
      <c r="J135" s="3">
        <v>9671.639999999999</v>
      </c>
      <c r="K135" s="3">
        <v>122034.68</v>
      </c>
      <c r="L135" s="3">
        <v>25373.84</v>
      </c>
      <c r="M135" s="3">
        <v>0</v>
      </c>
      <c r="N135" s="3">
        <v>39</v>
      </c>
      <c r="O135" s="3">
        <v>87.3</v>
      </c>
      <c r="P135" s="3">
        <v>39</v>
      </c>
      <c r="Q135" s="3">
        <v>0</v>
      </c>
    </row>
    <row r="136" spans="1:17">
      <c r="A136" t="s">
        <v>276</v>
      </c>
      <c r="B136" t="s">
        <v>277</v>
      </c>
      <c r="C136" s="3">
        <v>40.96</v>
      </c>
      <c r="D136" s="3">
        <v>0.14</v>
      </c>
      <c r="E136" s="3">
        <v>247.56</v>
      </c>
      <c r="F136" s="3">
        <v>92.15000000000001</v>
      </c>
      <c r="G136" s="3">
        <v>0</v>
      </c>
      <c r="H136" s="3">
        <v>1</v>
      </c>
      <c r="I136" s="3">
        <v>1</v>
      </c>
      <c r="J136" s="3">
        <v>9392.780000000001</v>
      </c>
      <c r="K136" s="3">
        <v>111391.3</v>
      </c>
      <c r="L136" s="3">
        <v>24522.88</v>
      </c>
      <c r="M136" s="3">
        <v>0</v>
      </c>
      <c r="N136" s="3">
        <v>44.3</v>
      </c>
      <c r="O136" s="3">
        <v>87.7</v>
      </c>
      <c r="P136" s="3">
        <v>44.3</v>
      </c>
      <c r="Q136" s="3">
        <v>0</v>
      </c>
    </row>
    <row r="137" spans="1:17">
      <c r="A137" t="s">
        <v>278</v>
      </c>
      <c r="B137" t="s">
        <v>279</v>
      </c>
      <c r="C137" s="3">
        <v>40.82</v>
      </c>
      <c r="D137" s="3">
        <v>0.19</v>
      </c>
      <c r="E137" s="3">
        <v>244.65</v>
      </c>
      <c r="F137" s="3">
        <v>49.54</v>
      </c>
      <c r="G137" s="3">
        <v>0</v>
      </c>
      <c r="H137" s="3">
        <v>1</v>
      </c>
      <c r="I137" s="3">
        <v>1</v>
      </c>
      <c r="J137" s="3">
        <v>9531.91</v>
      </c>
      <c r="K137" s="3">
        <v>109591.4</v>
      </c>
      <c r="L137" s="3">
        <v>26352.94</v>
      </c>
      <c r="M137" s="3">
        <v>0</v>
      </c>
      <c r="N137" s="3">
        <v>45.2</v>
      </c>
      <c r="O137" s="3">
        <v>86.8</v>
      </c>
      <c r="P137" s="3">
        <v>45.2</v>
      </c>
      <c r="Q137" s="3">
        <v>0</v>
      </c>
    </row>
    <row r="138" spans="1:17">
      <c r="A138" t="s">
        <v>280</v>
      </c>
      <c r="B138" t="s">
        <v>281</v>
      </c>
      <c r="C138" s="3">
        <v>40.61</v>
      </c>
      <c r="D138" s="3">
        <v>0.24</v>
      </c>
      <c r="E138" s="3">
        <v>241.9</v>
      </c>
      <c r="F138" s="3">
        <v>37.98</v>
      </c>
      <c r="G138" s="3">
        <v>0</v>
      </c>
      <c r="H138" s="3">
        <v>1</v>
      </c>
      <c r="I138" s="3">
        <v>1</v>
      </c>
      <c r="J138" s="3">
        <v>9254.24</v>
      </c>
      <c r="K138" s="3">
        <v>101948.72</v>
      </c>
      <c r="L138" s="3">
        <v>24733.94</v>
      </c>
      <c r="M138" s="3">
        <v>0</v>
      </c>
      <c r="N138" s="3">
        <v>49</v>
      </c>
      <c r="O138" s="3">
        <v>87.59999999999999</v>
      </c>
      <c r="P138" s="3">
        <v>49</v>
      </c>
      <c r="Q138" s="3">
        <v>0</v>
      </c>
    </row>
    <row r="139" spans="1:17">
      <c r="A139" t="s">
        <v>282</v>
      </c>
      <c r="B139" t="s">
        <v>283</v>
      </c>
      <c r="C139" s="3">
        <v>40.4</v>
      </c>
      <c r="D139" s="3">
        <v>0.2</v>
      </c>
      <c r="E139" s="3">
        <v>239.03</v>
      </c>
      <c r="F139" s="3">
        <v>53.69</v>
      </c>
      <c r="G139" s="3">
        <v>0</v>
      </c>
      <c r="H139" s="3">
        <v>0</v>
      </c>
      <c r="I139" s="3">
        <v>0</v>
      </c>
      <c r="J139" s="3">
        <v>9531.91</v>
      </c>
      <c r="K139" s="3">
        <v>111391.3</v>
      </c>
      <c r="L139" s="3">
        <v>26023.97</v>
      </c>
      <c r="M139" s="3">
        <v>0</v>
      </c>
      <c r="N139" s="3">
        <v>44.3</v>
      </c>
      <c r="O139" s="3">
        <v>87</v>
      </c>
      <c r="P139" s="3">
        <v>44.3</v>
      </c>
      <c r="Q139" s="3">
        <v>0</v>
      </c>
    </row>
    <row r="140" spans="1:17">
      <c r="A140" t="s">
        <v>284</v>
      </c>
      <c r="B140" t="s">
        <v>285</v>
      </c>
      <c r="C140" s="3">
        <v>40.13</v>
      </c>
      <c r="D140" s="3">
        <v>0.34</v>
      </c>
      <c r="E140" s="3">
        <v>235.98</v>
      </c>
      <c r="F140" s="3">
        <v>49.01</v>
      </c>
      <c r="G140" s="3">
        <v>0</v>
      </c>
      <c r="H140" s="3">
        <v>0</v>
      </c>
      <c r="I140" s="3">
        <v>0</v>
      </c>
      <c r="J140" s="3">
        <v>9531.91</v>
      </c>
      <c r="K140" s="3">
        <v>104835.51</v>
      </c>
      <c r="L140" s="3">
        <v>25806.11</v>
      </c>
      <c r="M140" s="3">
        <v>0</v>
      </c>
      <c r="N140" s="3">
        <v>47.6</v>
      </c>
      <c r="O140" s="3">
        <v>87.09999999999999</v>
      </c>
      <c r="P140" s="3">
        <v>47.6</v>
      </c>
      <c r="Q140" s="3">
        <v>0</v>
      </c>
    </row>
    <row r="141" spans="1:17">
      <c r="A141" t="s">
        <v>286</v>
      </c>
      <c r="B141" t="s">
        <v>287</v>
      </c>
      <c r="C141" s="3">
        <v>39.99</v>
      </c>
      <c r="D141" s="3">
        <v>0.37</v>
      </c>
      <c r="E141" s="3">
        <v>232.99</v>
      </c>
      <c r="F141" s="3">
        <v>49.78</v>
      </c>
      <c r="G141" s="3">
        <v>0</v>
      </c>
      <c r="H141" s="3">
        <v>0</v>
      </c>
      <c r="I141" s="3">
        <v>0</v>
      </c>
      <c r="J141" s="3">
        <v>8842.110000000001</v>
      </c>
      <c r="K141" s="3">
        <v>98000</v>
      </c>
      <c r="L141" s="3">
        <v>23381.44</v>
      </c>
      <c r="M141" s="3">
        <v>0</v>
      </c>
      <c r="N141" s="3">
        <v>51</v>
      </c>
      <c r="O141" s="3">
        <v>88.3</v>
      </c>
      <c r="P141" s="3">
        <v>51</v>
      </c>
      <c r="Q141" s="3">
        <v>0</v>
      </c>
    </row>
    <row r="142" spans="1:17">
      <c r="A142" t="s">
        <v>288</v>
      </c>
      <c r="B142" t="s">
        <v>289</v>
      </c>
      <c r="C142" s="3">
        <v>39.77</v>
      </c>
      <c r="D142" s="3">
        <v>0.28</v>
      </c>
      <c r="E142" s="3">
        <v>230.09</v>
      </c>
      <c r="F142" s="3">
        <v>48</v>
      </c>
      <c r="G142" s="3">
        <v>0</v>
      </c>
      <c r="H142" s="3">
        <v>0</v>
      </c>
      <c r="I142" s="3">
        <v>0</v>
      </c>
      <c r="J142" s="3">
        <v>9671.639999999999</v>
      </c>
      <c r="K142" s="3">
        <v>102354.76</v>
      </c>
      <c r="L142" s="3">
        <v>27018.87</v>
      </c>
      <c r="M142" s="3">
        <v>0</v>
      </c>
      <c r="N142" s="3">
        <v>48.8</v>
      </c>
      <c r="O142" s="3">
        <v>86.5</v>
      </c>
      <c r="P142" s="3">
        <v>48.8</v>
      </c>
      <c r="Q142" s="3">
        <v>0</v>
      </c>
    </row>
    <row r="143" spans="1:17">
      <c r="A143" t="s">
        <v>290</v>
      </c>
      <c r="B143" t="s">
        <v>291</v>
      </c>
      <c r="C143" s="3">
        <v>39.62</v>
      </c>
      <c r="D143" s="3">
        <v>0.41</v>
      </c>
      <c r="E143" s="3">
        <v>227.54</v>
      </c>
      <c r="F143" s="3">
        <v>46.04</v>
      </c>
      <c r="G143" s="3">
        <v>0</v>
      </c>
      <c r="H143" s="3">
        <v>0</v>
      </c>
      <c r="I143" s="3">
        <v>0</v>
      </c>
      <c r="J143" s="3">
        <v>9462.27</v>
      </c>
      <c r="K143" s="3">
        <v>101948.72</v>
      </c>
      <c r="L143" s="3">
        <v>26573.73</v>
      </c>
      <c r="M143" s="3">
        <v>0</v>
      </c>
      <c r="N143" s="3">
        <v>49</v>
      </c>
      <c r="O143" s="3">
        <v>86.7</v>
      </c>
      <c r="P143" s="3">
        <v>49</v>
      </c>
      <c r="Q143" s="3">
        <v>0</v>
      </c>
    </row>
    <row r="144" spans="1:17">
      <c r="A144" t="s">
        <v>292</v>
      </c>
      <c r="B144" t="s">
        <v>293</v>
      </c>
      <c r="C144" s="3">
        <v>39.33</v>
      </c>
      <c r="D144" s="3">
        <v>0.22</v>
      </c>
      <c r="E144" s="3">
        <v>225.02</v>
      </c>
      <c r="F144" s="3">
        <v>66.06999999999999</v>
      </c>
      <c r="G144" s="3">
        <v>0</v>
      </c>
      <c r="H144" s="3">
        <v>0</v>
      </c>
      <c r="I144" s="3">
        <v>0</v>
      </c>
      <c r="J144" s="3">
        <v>9882.35</v>
      </c>
      <c r="K144" s="3">
        <v>114165.75</v>
      </c>
      <c r="L144" s="3">
        <v>29082.87</v>
      </c>
      <c r="M144" s="3">
        <v>0</v>
      </c>
      <c r="N144" s="3">
        <v>42.9</v>
      </c>
      <c r="O144" s="3">
        <v>85.5</v>
      </c>
      <c r="P144" s="3">
        <v>42.9</v>
      </c>
      <c r="Q144" s="3">
        <v>0</v>
      </c>
    </row>
    <row r="145" spans="1:17">
      <c r="A145" t="s">
        <v>294</v>
      </c>
      <c r="B145" t="s">
        <v>295</v>
      </c>
      <c r="C145" s="3">
        <v>39.14</v>
      </c>
      <c r="D145" s="3">
        <v>0.4</v>
      </c>
      <c r="E145" s="3">
        <v>222.5</v>
      </c>
      <c r="F145" s="3">
        <v>50.43</v>
      </c>
      <c r="G145" s="3">
        <v>0</v>
      </c>
      <c r="H145" s="3">
        <v>0</v>
      </c>
      <c r="I145" s="3">
        <v>0</v>
      </c>
      <c r="J145" s="3">
        <v>9323.440000000001</v>
      </c>
      <c r="K145" s="3">
        <v>101948.72</v>
      </c>
      <c r="L145" s="3">
        <v>26023.97</v>
      </c>
      <c r="M145" s="3">
        <v>0</v>
      </c>
      <c r="N145" s="3">
        <v>49</v>
      </c>
      <c r="O145" s="3">
        <v>87</v>
      </c>
      <c r="P145" s="3">
        <v>49</v>
      </c>
      <c r="Q145" s="3">
        <v>0</v>
      </c>
    </row>
    <row r="146" spans="1:17">
      <c r="A146" t="s">
        <v>296</v>
      </c>
      <c r="B146" t="s">
        <v>297</v>
      </c>
      <c r="C146" s="3">
        <v>38.93</v>
      </c>
      <c r="D146" s="3">
        <v>0.51</v>
      </c>
      <c r="E146" s="3">
        <v>220.01</v>
      </c>
      <c r="F146" s="3">
        <v>54.34</v>
      </c>
      <c r="G146" s="3">
        <v>0</v>
      </c>
      <c r="H146" s="3">
        <v>0</v>
      </c>
      <c r="I146" s="3">
        <v>0</v>
      </c>
      <c r="J146" s="3">
        <v>9047.52</v>
      </c>
      <c r="K146" s="3">
        <v>105679.79</v>
      </c>
      <c r="L146" s="3">
        <v>25266.49</v>
      </c>
      <c r="M146" s="3">
        <v>0</v>
      </c>
      <c r="N146" s="3">
        <v>47.2</v>
      </c>
      <c r="O146" s="3">
        <v>87.40000000000001</v>
      </c>
      <c r="P146" s="3">
        <v>47.2</v>
      </c>
      <c r="Q146" s="3">
        <v>0</v>
      </c>
    </row>
    <row r="147" spans="1:17">
      <c r="A147" t="s">
        <v>298</v>
      </c>
      <c r="B147" t="s">
        <v>299</v>
      </c>
      <c r="C147" s="3">
        <v>38.73</v>
      </c>
      <c r="D147" s="3">
        <v>0.18</v>
      </c>
      <c r="E147" s="3">
        <v>217.16</v>
      </c>
      <c r="F147" s="3">
        <v>56.83</v>
      </c>
      <c r="G147" s="3">
        <v>0</v>
      </c>
      <c r="H147" s="3">
        <v>0</v>
      </c>
      <c r="I147" s="3">
        <v>0</v>
      </c>
      <c r="J147" s="3">
        <v>9462.27</v>
      </c>
      <c r="K147" s="3">
        <v>120504.3</v>
      </c>
      <c r="L147" s="3">
        <v>27243.24</v>
      </c>
      <c r="M147" s="3">
        <v>0</v>
      </c>
      <c r="N147" s="3">
        <v>39.7</v>
      </c>
      <c r="O147" s="3">
        <v>86.40000000000001</v>
      </c>
      <c r="P147" s="3">
        <v>39.7</v>
      </c>
      <c r="Q147" s="3">
        <v>0</v>
      </c>
    </row>
    <row r="148" spans="1:17">
      <c r="A148" t="s">
        <v>300</v>
      </c>
      <c r="B148" t="s">
        <v>301</v>
      </c>
      <c r="C148" s="3">
        <v>38.43</v>
      </c>
      <c r="D148" s="3">
        <v>0.26</v>
      </c>
      <c r="E148" s="3">
        <v>214.4</v>
      </c>
      <c r="F148" s="3">
        <v>46.64</v>
      </c>
      <c r="G148" s="3">
        <v>0</v>
      </c>
      <c r="H148" s="3">
        <v>0</v>
      </c>
      <c r="I148" s="3">
        <v>0</v>
      </c>
      <c r="J148" s="3">
        <v>10738.89</v>
      </c>
      <c r="K148" s="3">
        <v>113696.97</v>
      </c>
      <c r="L148" s="3">
        <v>32888.89</v>
      </c>
      <c r="M148" s="3">
        <v>0</v>
      </c>
      <c r="N148" s="3">
        <v>43.2</v>
      </c>
      <c r="O148" s="3">
        <v>83.59999999999999</v>
      </c>
      <c r="P148" s="3">
        <v>43.2</v>
      </c>
      <c r="Q148" s="3">
        <v>0</v>
      </c>
    </row>
    <row r="149" spans="1:17">
      <c r="A149" t="s">
        <v>302</v>
      </c>
      <c r="B149" t="s">
        <v>303</v>
      </c>
      <c r="C149" s="3">
        <v>38.24</v>
      </c>
      <c r="D149" s="3">
        <v>0.29</v>
      </c>
      <c r="E149" s="3">
        <v>211.85</v>
      </c>
      <c r="F149" s="3">
        <v>39.05</v>
      </c>
      <c r="G149" s="3">
        <v>0</v>
      </c>
      <c r="H149" s="3">
        <v>1</v>
      </c>
      <c r="I149" s="3">
        <v>1</v>
      </c>
      <c r="J149" s="3">
        <v>9952.889999999999</v>
      </c>
      <c r="K149" s="3">
        <v>113230.77</v>
      </c>
      <c r="L149" s="3">
        <v>28965.52</v>
      </c>
      <c r="M149" s="3">
        <v>0</v>
      </c>
      <c r="N149" s="3">
        <v>43.4</v>
      </c>
      <c r="O149" s="3">
        <v>85.5</v>
      </c>
      <c r="P149" s="3">
        <v>43.4</v>
      </c>
      <c r="Q149" s="3">
        <v>0</v>
      </c>
    </row>
    <row r="150" spans="1:17">
      <c r="A150" t="s">
        <v>304</v>
      </c>
      <c r="B150" t="s">
        <v>305</v>
      </c>
      <c r="C150" s="3">
        <v>38.03</v>
      </c>
      <c r="D150" s="3">
        <v>0.27</v>
      </c>
      <c r="E150" s="3">
        <v>209.51</v>
      </c>
      <c r="F150" s="3">
        <v>52.09</v>
      </c>
      <c r="G150" s="3">
        <v>0</v>
      </c>
      <c r="H150" s="3">
        <v>1</v>
      </c>
      <c r="I150" s="3">
        <v>1</v>
      </c>
      <c r="J150" s="3">
        <v>10236.56</v>
      </c>
      <c r="K150" s="3">
        <v>121011.49</v>
      </c>
      <c r="L150" s="3">
        <v>31375.89</v>
      </c>
      <c r="M150" s="3">
        <v>0</v>
      </c>
      <c r="N150" s="3">
        <v>39.5</v>
      </c>
      <c r="O150" s="3">
        <v>84.3</v>
      </c>
      <c r="P150" s="3">
        <v>39.5</v>
      </c>
      <c r="Q150" s="3">
        <v>0</v>
      </c>
    </row>
    <row r="151" spans="1:17">
      <c r="A151" t="s">
        <v>306</v>
      </c>
      <c r="B151" t="s">
        <v>307</v>
      </c>
      <c r="C151" s="3">
        <v>37.76</v>
      </c>
      <c r="D151" s="3">
        <v>0.44</v>
      </c>
      <c r="E151" s="3">
        <v>207.21</v>
      </c>
      <c r="F151" s="3">
        <v>49.12</v>
      </c>
      <c r="G151" s="3">
        <v>0</v>
      </c>
      <c r="H151" s="3">
        <v>1</v>
      </c>
      <c r="I151" s="3">
        <v>1</v>
      </c>
      <c r="J151" s="3">
        <v>9882.35</v>
      </c>
      <c r="K151" s="3">
        <v>116067.04</v>
      </c>
      <c r="L151" s="3">
        <v>30033.52</v>
      </c>
      <c r="M151" s="3">
        <v>0</v>
      </c>
      <c r="N151" s="3">
        <v>42</v>
      </c>
      <c r="O151" s="3">
        <v>85</v>
      </c>
      <c r="P151" s="3">
        <v>42</v>
      </c>
      <c r="Q151" s="3">
        <v>0</v>
      </c>
    </row>
    <row r="152" spans="1:17">
      <c r="A152" t="s">
        <v>308</v>
      </c>
      <c r="B152" t="s">
        <v>309</v>
      </c>
      <c r="C152" s="3">
        <v>37.51</v>
      </c>
      <c r="D152" s="3">
        <v>0.61</v>
      </c>
      <c r="E152" s="3">
        <v>204.98</v>
      </c>
      <c r="F152" s="3">
        <v>62.75</v>
      </c>
      <c r="G152" s="3">
        <v>0</v>
      </c>
      <c r="H152" s="3">
        <v>1</v>
      </c>
      <c r="I152" s="3">
        <v>1</v>
      </c>
      <c r="J152" s="3">
        <v>9531.91</v>
      </c>
      <c r="K152" s="3">
        <v>102762.89</v>
      </c>
      <c r="L152" s="3">
        <v>28268.13</v>
      </c>
      <c r="M152" s="3">
        <v>0</v>
      </c>
      <c r="N152" s="3">
        <v>48.6</v>
      </c>
      <c r="O152" s="3">
        <v>85.90000000000001</v>
      </c>
      <c r="P152" s="3">
        <v>48.6</v>
      </c>
      <c r="Q152" s="3">
        <v>0</v>
      </c>
    </row>
    <row r="153" spans="1:17">
      <c r="A153" t="s">
        <v>310</v>
      </c>
      <c r="B153" t="s">
        <v>311</v>
      </c>
      <c r="C153" s="3">
        <v>37.33</v>
      </c>
      <c r="D153" s="3">
        <v>0.44</v>
      </c>
      <c r="E153" s="3">
        <v>202.66</v>
      </c>
      <c r="F153" s="3">
        <v>105.24</v>
      </c>
      <c r="G153" s="3">
        <v>0</v>
      </c>
      <c r="H153" s="3">
        <v>1</v>
      </c>
      <c r="I153" s="3">
        <v>1</v>
      </c>
      <c r="J153" s="3">
        <v>9601.700000000001</v>
      </c>
      <c r="K153" s="3">
        <v>113230.77</v>
      </c>
      <c r="L153" s="3">
        <v>29436.89</v>
      </c>
      <c r="M153" s="3">
        <v>0</v>
      </c>
      <c r="N153" s="3">
        <v>43.4</v>
      </c>
      <c r="O153" s="3">
        <v>85.3</v>
      </c>
      <c r="P153" s="3">
        <v>43.4</v>
      </c>
      <c r="Q153" s="3">
        <v>0</v>
      </c>
    </row>
    <row r="154" spans="1:17">
      <c r="A154" t="s">
        <v>312</v>
      </c>
      <c r="B154" t="s">
        <v>313</v>
      </c>
      <c r="C154" s="3">
        <v>37.12</v>
      </c>
      <c r="D154" s="3">
        <v>0.59</v>
      </c>
      <c r="E154" s="3">
        <v>200.5</v>
      </c>
      <c r="F154" s="3">
        <v>85.03</v>
      </c>
      <c r="G154" s="3">
        <v>0</v>
      </c>
      <c r="H154" s="3">
        <v>1</v>
      </c>
      <c r="I154" s="3">
        <v>1</v>
      </c>
      <c r="J154" s="3">
        <v>9741.73</v>
      </c>
      <c r="K154" s="3">
        <v>112306.01</v>
      </c>
      <c r="L154" s="3">
        <v>30153.85</v>
      </c>
      <c r="M154" s="3">
        <v>0</v>
      </c>
      <c r="N154" s="3">
        <v>43.8</v>
      </c>
      <c r="O154" s="3">
        <v>84.90000000000001</v>
      </c>
      <c r="P154" s="3">
        <v>43.8</v>
      </c>
      <c r="Q154" s="3">
        <v>0</v>
      </c>
    </row>
    <row r="155" spans="1:17">
      <c r="A155" t="s">
        <v>314</v>
      </c>
      <c r="B155" t="s">
        <v>315</v>
      </c>
      <c r="C155" s="3">
        <v>36.89</v>
      </c>
      <c r="D155" s="3">
        <v>0.14</v>
      </c>
      <c r="E155" s="3">
        <v>197.99</v>
      </c>
      <c r="F155" s="3">
        <v>82.66</v>
      </c>
      <c r="G155" s="3">
        <v>0</v>
      </c>
      <c r="H155" s="3">
        <v>1</v>
      </c>
      <c r="I155" s="3">
        <v>1</v>
      </c>
      <c r="J155" s="3">
        <v>11322.4</v>
      </c>
      <c r="K155" s="3">
        <v>133538.46</v>
      </c>
      <c r="L155" s="3">
        <v>38333.84</v>
      </c>
      <c r="M155" s="3">
        <v>0</v>
      </c>
      <c r="N155" s="3">
        <v>33.2</v>
      </c>
      <c r="O155" s="3">
        <v>80.8</v>
      </c>
      <c r="P155" s="3">
        <v>33.2</v>
      </c>
      <c r="Q155" s="3">
        <v>0</v>
      </c>
    </row>
    <row r="156" spans="1:17">
      <c r="A156" t="s">
        <v>316</v>
      </c>
      <c r="B156" t="s">
        <v>317</v>
      </c>
      <c r="C156" s="3">
        <v>36.65</v>
      </c>
      <c r="D156" s="3">
        <v>0.29</v>
      </c>
      <c r="E156" s="3">
        <v>195.77</v>
      </c>
      <c r="F156" s="3">
        <v>76.03</v>
      </c>
      <c r="G156" s="3">
        <v>0</v>
      </c>
      <c r="H156" s="3">
        <v>1</v>
      </c>
      <c r="I156" s="3">
        <v>1</v>
      </c>
      <c r="J156" s="3">
        <v>10956.52</v>
      </c>
      <c r="K156" s="3">
        <v>114637.12</v>
      </c>
      <c r="L156" s="3">
        <v>36077.73</v>
      </c>
      <c r="M156" s="3">
        <v>0</v>
      </c>
      <c r="N156" s="3">
        <v>42.7</v>
      </c>
      <c r="O156" s="3">
        <v>82</v>
      </c>
      <c r="P156" s="3">
        <v>42.7</v>
      </c>
      <c r="Q156" s="3">
        <v>0</v>
      </c>
    </row>
    <row r="157" spans="1:17">
      <c r="A157" t="s">
        <v>318</v>
      </c>
      <c r="B157" t="s">
        <v>319</v>
      </c>
      <c r="C157" s="3">
        <v>36.38</v>
      </c>
      <c r="D157" s="3">
        <v>0.31</v>
      </c>
      <c r="E157" s="3">
        <v>193.43</v>
      </c>
      <c r="F157" s="3">
        <v>44.8</v>
      </c>
      <c r="G157" s="3">
        <v>0</v>
      </c>
      <c r="H157" s="3">
        <v>1</v>
      </c>
      <c r="I157" s="3">
        <v>1</v>
      </c>
      <c r="J157" s="3">
        <v>11029.38</v>
      </c>
      <c r="K157" s="3">
        <v>131804.88</v>
      </c>
      <c r="L157" s="3">
        <v>37474.96</v>
      </c>
      <c r="M157" s="3">
        <v>0</v>
      </c>
      <c r="N157" s="3">
        <v>34.1</v>
      </c>
      <c r="O157" s="3">
        <v>81.3</v>
      </c>
      <c r="P157" s="3">
        <v>34.1</v>
      </c>
      <c r="Q157" s="3">
        <v>0</v>
      </c>
    </row>
    <row r="158" spans="1:17">
      <c r="A158" t="s">
        <v>320</v>
      </c>
      <c r="B158" t="s">
        <v>321</v>
      </c>
      <c r="C158" s="3">
        <v>36.16</v>
      </c>
      <c r="D158" s="3">
        <v>0.34</v>
      </c>
      <c r="E158" s="3">
        <v>191.09</v>
      </c>
      <c r="F158" s="3">
        <v>48.29</v>
      </c>
      <c r="G158" s="3">
        <v>0</v>
      </c>
      <c r="H158" s="3">
        <v>1</v>
      </c>
      <c r="I158" s="3">
        <v>1</v>
      </c>
      <c r="J158" s="3">
        <v>10956.52</v>
      </c>
      <c r="K158" s="3">
        <v>123069.77</v>
      </c>
      <c r="L158" s="3">
        <v>37051.36</v>
      </c>
      <c r="M158" s="3">
        <v>0</v>
      </c>
      <c r="N158" s="3">
        <v>38.5</v>
      </c>
      <c r="O158" s="3">
        <v>81.5</v>
      </c>
      <c r="P158" s="3">
        <v>38.5</v>
      </c>
      <c r="Q158" s="3">
        <v>0</v>
      </c>
    </row>
    <row r="159" spans="1:17">
      <c r="A159" t="s">
        <v>322</v>
      </c>
      <c r="B159" t="s">
        <v>323</v>
      </c>
      <c r="C159" s="3">
        <v>35.88</v>
      </c>
      <c r="D159" s="3">
        <v>0.33</v>
      </c>
      <c r="E159" s="3">
        <v>188.74</v>
      </c>
      <c r="F159" s="3">
        <v>59.08</v>
      </c>
      <c r="G159" s="3">
        <v>0</v>
      </c>
      <c r="H159" s="3">
        <v>0</v>
      </c>
      <c r="I159" s="3">
        <v>0</v>
      </c>
      <c r="J159" s="3">
        <v>10956.52</v>
      </c>
      <c r="K159" s="3">
        <v>131234.04</v>
      </c>
      <c r="L159" s="3">
        <v>37333.33</v>
      </c>
      <c r="M159" s="3">
        <v>0</v>
      </c>
      <c r="N159" s="3">
        <v>34.4</v>
      </c>
      <c r="O159" s="3">
        <v>81.3</v>
      </c>
      <c r="P159" s="3">
        <v>34.4</v>
      </c>
      <c r="Q159" s="3">
        <v>0</v>
      </c>
    </row>
    <row r="160" spans="1:17">
      <c r="A160" t="s">
        <v>324</v>
      </c>
      <c r="B160" t="s">
        <v>325</v>
      </c>
      <c r="C160" s="3">
        <v>35.6</v>
      </c>
      <c r="D160" s="3">
        <v>0.54</v>
      </c>
      <c r="E160" s="3">
        <v>186.67</v>
      </c>
      <c r="F160" s="3">
        <v>52.5</v>
      </c>
      <c r="G160" s="3">
        <v>0</v>
      </c>
      <c r="H160" s="3">
        <v>0</v>
      </c>
      <c r="I160" s="3">
        <v>0</v>
      </c>
      <c r="J160" s="3">
        <v>10883.82</v>
      </c>
      <c r="K160" s="3">
        <v>114637.12</v>
      </c>
      <c r="L160" s="3">
        <v>36771.08</v>
      </c>
      <c r="M160" s="3">
        <v>0</v>
      </c>
      <c r="N160" s="3">
        <v>42.7</v>
      </c>
      <c r="O160" s="3">
        <v>81.59999999999999</v>
      </c>
      <c r="P160" s="3">
        <v>42.7</v>
      </c>
      <c r="Q160" s="3">
        <v>0</v>
      </c>
    </row>
    <row r="161" spans="1:17">
      <c r="A161" t="s">
        <v>326</v>
      </c>
      <c r="B161" t="s">
        <v>327</v>
      </c>
      <c r="C161" s="3">
        <v>35.37</v>
      </c>
      <c r="D161" s="3">
        <v>0.5600000000000001</v>
      </c>
      <c r="E161" s="3">
        <v>184.3</v>
      </c>
      <c r="F161" s="3">
        <v>52.98</v>
      </c>
      <c r="G161" s="3">
        <v>0</v>
      </c>
      <c r="H161" s="3">
        <v>0</v>
      </c>
      <c r="I161" s="3">
        <v>0</v>
      </c>
      <c r="J161" s="3">
        <v>10379.31</v>
      </c>
      <c r="K161" s="3">
        <v>113230.77</v>
      </c>
      <c r="L161" s="3">
        <v>34455.21</v>
      </c>
      <c r="M161" s="3">
        <v>0</v>
      </c>
      <c r="N161" s="3">
        <v>43.4</v>
      </c>
      <c r="O161" s="3">
        <v>82.8</v>
      </c>
      <c r="P161" s="3">
        <v>43.4</v>
      </c>
      <c r="Q161" s="3">
        <v>0</v>
      </c>
    </row>
    <row r="162" spans="1:17">
      <c r="A162" t="s">
        <v>328</v>
      </c>
      <c r="B162" t="s">
        <v>329</v>
      </c>
      <c r="C162" s="3">
        <v>35.16</v>
      </c>
      <c r="D162" s="3">
        <v>0.68</v>
      </c>
      <c r="E162" s="3">
        <v>182.13</v>
      </c>
      <c r="F162" s="3">
        <v>48.89</v>
      </c>
      <c r="G162" s="3">
        <v>0</v>
      </c>
      <c r="H162" s="3">
        <v>0</v>
      </c>
      <c r="I162" s="3">
        <v>0</v>
      </c>
      <c r="J162" s="3">
        <v>9882.35</v>
      </c>
      <c r="K162" s="3">
        <v>115587.74</v>
      </c>
      <c r="L162" s="3">
        <v>32252.15</v>
      </c>
      <c r="M162" s="3">
        <v>0</v>
      </c>
      <c r="N162" s="3">
        <v>42.2</v>
      </c>
      <c r="O162" s="3">
        <v>83.90000000000001</v>
      </c>
      <c r="P162" s="3">
        <v>42.2</v>
      </c>
      <c r="Q162" s="3">
        <v>0</v>
      </c>
    </row>
    <row r="163" spans="1:17">
      <c r="A163" t="s">
        <v>330</v>
      </c>
      <c r="B163" t="s">
        <v>331</v>
      </c>
      <c r="C163" s="3">
        <v>34.97</v>
      </c>
      <c r="D163" s="3">
        <v>0.59</v>
      </c>
      <c r="E163" s="3">
        <v>179.95</v>
      </c>
      <c r="F163" s="3">
        <v>119.17</v>
      </c>
      <c r="G163" s="3">
        <v>0</v>
      </c>
      <c r="H163" s="3">
        <v>1</v>
      </c>
      <c r="I163" s="3">
        <v>1</v>
      </c>
      <c r="J163" s="3">
        <v>10379.31</v>
      </c>
      <c r="K163" s="3">
        <v>110486.49</v>
      </c>
      <c r="L163" s="3">
        <v>35394.66</v>
      </c>
      <c r="M163" s="3">
        <v>0</v>
      </c>
      <c r="N163" s="3">
        <v>44.8</v>
      </c>
      <c r="O163" s="3">
        <v>82.3</v>
      </c>
      <c r="P163" s="3">
        <v>44.8</v>
      </c>
      <c r="Q163" s="3">
        <v>0</v>
      </c>
    </row>
    <row r="164" spans="1:17">
      <c r="A164" t="s">
        <v>332</v>
      </c>
      <c r="B164" t="s">
        <v>333</v>
      </c>
      <c r="C164" s="3">
        <v>34.81</v>
      </c>
      <c r="D164" s="3">
        <v>0.66</v>
      </c>
      <c r="E164" s="3">
        <v>177.63</v>
      </c>
      <c r="F164" s="3">
        <v>30.16</v>
      </c>
      <c r="G164" s="3">
        <v>0</v>
      </c>
      <c r="H164" s="3">
        <v>1</v>
      </c>
      <c r="I164" s="3">
        <v>1</v>
      </c>
      <c r="J164" s="3">
        <v>9952.889999999999</v>
      </c>
      <c r="K164" s="3">
        <v>113696.97</v>
      </c>
      <c r="L164" s="3">
        <v>33146.16</v>
      </c>
      <c r="M164" s="3">
        <v>0</v>
      </c>
      <c r="N164" s="3">
        <v>43.2</v>
      </c>
      <c r="O164" s="3">
        <v>83.40000000000001</v>
      </c>
      <c r="P164" s="3">
        <v>43.2</v>
      </c>
      <c r="Q164" s="3">
        <v>0</v>
      </c>
    </row>
    <row r="165" spans="1:17">
      <c r="A165" t="s">
        <v>334</v>
      </c>
      <c r="B165" t="s">
        <v>335</v>
      </c>
      <c r="C165" s="3">
        <v>34.58</v>
      </c>
      <c r="D165" s="3">
        <v>0.65</v>
      </c>
      <c r="E165" s="3">
        <v>175.55</v>
      </c>
      <c r="F165" s="3">
        <v>57.78</v>
      </c>
      <c r="G165" s="3">
        <v>0</v>
      </c>
      <c r="H165" s="3">
        <v>1</v>
      </c>
      <c r="I165" s="3">
        <v>1</v>
      </c>
      <c r="J165" s="3">
        <v>10666.67</v>
      </c>
      <c r="K165" s="3">
        <v>116067.04</v>
      </c>
      <c r="L165" s="3">
        <v>36771.08</v>
      </c>
      <c r="M165" s="3">
        <v>0</v>
      </c>
      <c r="N165" s="3">
        <v>42</v>
      </c>
      <c r="O165" s="3">
        <v>81.59999999999999</v>
      </c>
      <c r="P165" s="3">
        <v>42</v>
      </c>
      <c r="Q165" s="3">
        <v>0</v>
      </c>
    </row>
    <row r="166" spans="1:17">
      <c r="A166" t="s">
        <v>336</v>
      </c>
      <c r="B166" t="s">
        <v>337</v>
      </c>
      <c r="C166" s="3">
        <v>34.39</v>
      </c>
      <c r="D166" s="3">
        <v>0.6899999999999999</v>
      </c>
      <c r="E166" s="3">
        <v>173.18</v>
      </c>
      <c r="F166" s="3">
        <v>57.3</v>
      </c>
      <c r="G166" s="3">
        <v>0</v>
      </c>
      <c r="H166" s="3">
        <v>0</v>
      </c>
      <c r="I166" s="3">
        <v>0</v>
      </c>
      <c r="J166" s="3">
        <v>10094.42</v>
      </c>
      <c r="K166" s="3">
        <v>117033.71</v>
      </c>
      <c r="L166" s="3">
        <v>33927.01</v>
      </c>
      <c r="M166" s="3">
        <v>0</v>
      </c>
      <c r="N166" s="3">
        <v>41.5</v>
      </c>
      <c r="O166" s="3">
        <v>83</v>
      </c>
      <c r="P166" s="3">
        <v>41.5</v>
      </c>
      <c r="Q166" s="3">
        <v>0</v>
      </c>
    </row>
    <row r="167" spans="1:17">
      <c r="A167" t="s">
        <v>338</v>
      </c>
      <c r="B167" t="s">
        <v>339</v>
      </c>
      <c r="C167" s="3">
        <v>34.15</v>
      </c>
      <c r="D167" s="3">
        <v>0.34</v>
      </c>
      <c r="E167" s="3">
        <v>170.23</v>
      </c>
      <c r="F167" s="3">
        <v>134.16</v>
      </c>
      <c r="G167" s="3">
        <v>0</v>
      </c>
      <c r="H167" s="3">
        <v>0</v>
      </c>
      <c r="I167" s="3">
        <v>0</v>
      </c>
      <c r="J167" s="3">
        <v>11248.91</v>
      </c>
      <c r="K167" s="3">
        <v>130666.67</v>
      </c>
      <c r="L167" s="3">
        <v>40551.72</v>
      </c>
      <c r="M167" s="3">
        <v>0</v>
      </c>
      <c r="N167" s="3">
        <v>34.7</v>
      </c>
      <c r="O167" s="3">
        <v>79.7</v>
      </c>
      <c r="P167" s="3">
        <v>34.7</v>
      </c>
      <c r="Q167" s="3">
        <v>0</v>
      </c>
    </row>
    <row r="168" spans="1:17">
      <c r="A168" t="s">
        <v>340</v>
      </c>
      <c r="B168" t="s">
        <v>341</v>
      </c>
      <c r="C168" s="3">
        <v>33.86</v>
      </c>
      <c r="D168" s="3">
        <v>0.44</v>
      </c>
      <c r="E168" s="3">
        <v>167.82</v>
      </c>
      <c r="F168" s="3">
        <v>46.22</v>
      </c>
      <c r="G168" s="3">
        <v>0</v>
      </c>
      <c r="H168" s="3">
        <v>0</v>
      </c>
      <c r="I168" s="3">
        <v>0</v>
      </c>
      <c r="J168" s="3">
        <v>11766.78</v>
      </c>
      <c r="K168" s="3">
        <v>126789.32</v>
      </c>
      <c r="L168" s="3">
        <v>42876.4</v>
      </c>
      <c r="M168" s="3">
        <v>0</v>
      </c>
      <c r="N168" s="3">
        <v>36.6</v>
      </c>
      <c r="O168" s="3">
        <v>78.59999999999999</v>
      </c>
      <c r="P168" s="3">
        <v>36.6</v>
      </c>
      <c r="Q168" s="3">
        <v>0</v>
      </c>
    </row>
    <row r="169" spans="1:17">
      <c r="A169" t="s">
        <v>342</v>
      </c>
      <c r="B169" t="s">
        <v>343</v>
      </c>
      <c r="C169" s="3">
        <v>33.57</v>
      </c>
      <c r="D169" s="3">
        <v>0.36</v>
      </c>
      <c r="E169" s="3">
        <v>165.39</v>
      </c>
      <c r="F169" s="3">
        <v>51.61</v>
      </c>
      <c r="G169" s="3">
        <v>0</v>
      </c>
      <c r="H169" s="3">
        <v>0</v>
      </c>
      <c r="I169" s="3">
        <v>0</v>
      </c>
      <c r="J169" s="3">
        <v>11916.21</v>
      </c>
      <c r="K169" s="3">
        <v>135304.35</v>
      </c>
      <c r="L169" s="3">
        <v>44325.73</v>
      </c>
      <c r="M169" s="3">
        <v>0</v>
      </c>
      <c r="N169" s="3">
        <v>32.3</v>
      </c>
      <c r="O169" s="3">
        <v>77.8</v>
      </c>
      <c r="P169" s="3">
        <v>32.3</v>
      </c>
      <c r="Q169" s="3">
        <v>0</v>
      </c>
    </row>
    <row r="170" spans="1:17">
      <c r="A170" t="s">
        <v>344</v>
      </c>
      <c r="B170" t="s">
        <v>345</v>
      </c>
      <c r="C170" s="3">
        <v>33.29</v>
      </c>
      <c r="D170" s="3">
        <v>0.8</v>
      </c>
      <c r="E170" s="3">
        <v>163.31</v>
      </c>
      <c r="F170" s="3">
        <v>56.83</v>
      </c>
      <c r="G170" s="3">
        <v>0</v>
      </c>
      <c r="H170" s="3">
        <v>1</v>
      </c>
      <c r="I170" s="3">
        <v>1</v>
      </c>
      <c r="J170" s="3">
        <v>10883.82</v>
      </c>
      <c r="K170" s="3">
        <v>112767.12</v>
      </c>
      <c r="L170" s="3">
        <v>38478.53</v>
      </c>
      <c r="M170" s="3">
        <v>0</v>
      </c>
      <c r="N170" s="3">
        <v>43.6</v>
      </c>
      <c r="O170" s="3">
        <v>80.8</v>
      </c>
      <c r="P170" s="3">
        <v>43.6</v>
      </c>
      <c r="Q170" s="3">
        <v>0</v>
      </c>
    </row>
    <row r="171" spans="1:17">
      <c r="A171" t="s">
        <v>346</v>
      </c>
      <c r="B171" t="s">
        <v>347</v>
      </c>
      <c r="C171" s="3">
        <v>33.12</v>
      </c>
      <c r="D171" s="3">
        <v>0.74</v>
      </c>
      <c r="E171" s="3">
        <v>161.25</v>
      </c>
      <c r="F171" s="3">
        <v>47.23</v>
      </c>
      <c r="G171" s="3">
        <v>0</v>
      </c>
      <c r="H171" s="3">
        <v>1</v>
      </c>
      <c r="I171" s="3">
        <v>1</v>
      </c>
      <c r="J171" s="3">
        <v>10379.31</v>
      </c>
      <c r="K171" s="3">
        <v>109147.45</v>
      </c>
      <c r="L171" s="3">
        <v>36215.57</v>
      </c>
      <c r="M171" s="3">
        <v>0</v>
      </c>
      <c r="N171" s="3">
        <v>45.4</v>
      </c>
      <c r="O171" s="3">
        <v>81.90000000000001</v>
      </c>
      <c r="P171" s="3">
        <v>45.4</v>
      </c>
      <c r="Q171" s="3">
        <v>0</v>
      </c>
    </row>
    <row r="172" spans="1:17">
      <c r="A172" t="s">
        <v>348</v>
      </c>
      <c r="B172" t="s">
        <v>349</v>
      </c>
      <c r="C172" s="3">
        <v>32.89</v>
      </c>
      <c r="D172" s="3">
        <v>0.6899999999999999</v>
      </c>
      <c r="E172" s="3">
        <v>159.12</v>
      </c>
      <c r="F172" s="3">
        <v>81.72</v>
      </c>
      <c r="G172" s="3">
        <v>0</v>
      </c>
      <c r="H172" s="3">
        <v>1</v>
      </c>
      <c r="I172" s="3">
        <v>1</v>
      </c>
      <c r="J172" s="3">
        <v>10522.68</v>
      </c>
      <c r="K172" s="3">
        <v>117521.13</v>
      </c>
      <c r="L172" s="3">
        <v>38333.84</v>
      </c>
      <c r="M172" s="3">
        <v>0</v>
      </c>
      <c r="N172" s="3">
        <v>41.2</v>
      </c>
      <c r="O172" s="3">
        <v>80.8</v>
      </c>
      <c r="P172" s="3">
        <v>41.2</v>
      </c>
      <c r="Q172" s="3">
        <v>0</v>
      </c>
    </row>
    <row r="173" spans="1:17">
      <c r="A173" t="s">
        <v>350</v>
      </c>
      <c r="B173" t="s">
        <v>351</v>
      </c>
      <c r="C173" s="3">
        <v>32.71</v>
      </c>
      <c r="D173" s="3">
        <v>0.7</v>
      </c>
      <c r="E173" s="3">
        <v>156.8</v>
      </c>
      <c r="F173" s="3">
        <v>68.73999999999999</v>
      </c>
      <c r="G173" s="3">
        <v>0</v>
      </c>
      <c r="H173" s="3">
        <v>0</v>
      </c>
      <c r="I173" s="3">
        <v>0</v>
      </c>
      <c r="J173" s="3">
        <v>10307.86</v>
      </c>
      <c r="K173" s="3">
        <v>110937.67</v>
      </c>
      <c r="L173" s="3">
        <v>37192.13</v>
      </c>
      <c r="M173" s="3">
        <v>0</v>
      </c>
      <c r="N173" s="3">
        <v>44.5</v>
      </c>
      <c r="O173" s="3">
        <v>81.40000000000001</v>
      </c>
      <c r="P173" s="3">
        <v>44.5</v>
      </c>
      <c r="Q173" s="3">
        <v>0</v>
      </c>
    </row>
    <row r="174" spans="1:17">
      <c r="A174" t="s">
        <v>352</v>
      </c>
      <c r="B174" t="s">
        <v>353</v>
      </c>
      <c r="C174" s="3">
        <v>32.48</v>
      </c>
      <c r="D174" s="3">
        <v>0.52</v>
      </c>
      <c r="E174" s="3">
        <v>154.23</v>
      </c>
      <c r="F174" s="3">
        <v>62.04</v>
      </c>
      <c r="G174" s="3">
        <v>0</v>
      </c>
      <c r="H174" s="3">
        <v>0</v>
      </c>
      <c r="I174" s="3">
        <v>0</v>
      </c>
      <c r="J174" s="3">
        <v>10883.82</v>
      </c>
      <c r="K174" s="3">
        <v>127333.33</v>
      </c>
      <c r="L174" s="3">
        <v>41007.87</v>
      </c>
      <c r="M174" s="3">
        <v>0</v>
      </c>
      <c r="N174" s="3">
        <v>36.3</v>
      </c>
      <c r="O174" s="3">
        <v>79.5</v>
      </c>
      <c r="P174" s="3">
        <v>36.3</v>
      </c>
      <c r="Q174" s="3">
        <v>0</v>
      </c>
    </row>
    <row r="175" spans="1:17">
      <c r="A175" t="s">
        <v>354</v>
      </c>
      <c r="B175" t="s">
        <v>355</v>
      </c>
      <c r="C175" s="3">
        <v>32.22</v>
      </c>
      <c r="D175" s="3">
        <v>0.52</v>
      </c>
      <c r="E175" s="3">
        <v>152.12</v>
      </c>
      <c r="F175" s="3">
        <v>49.24</v>
      </c>
      <c r="G175" s="3">
        <v>0</v>
      </c>
      <c r="H175" s="3">
        <v>0</v>
      </c>
      <c r="I175" s="3">
        <v>0</v>
      </c>
      <c r="J175" s="3">
        <v>11102.4</v>
      </c>
      <c r="K175" s="3">
        <v>130666.67</v>
      </c>
      <c r="L175" s="3">
        <v>42402.56</v>
      </c>
      <c r="M175" s="3">
        <v>0</v>
      </c>
      <c r="N175" s="3">
        <v>34.7</v>
      </c>
      <c r="O175" s="3">
        <v>78.8</v>
      </c>
      <c r="P175" s="3">
        <v>34.7</v>
      </c>
      <c r="Q175" s="3">
        <v>0</v>
      </c>
    </row>
    <row r="176" spans="1:17">
      <c r="A176" t="s">
        <v>356</v>
      </c>
      <c r="B176" t="s">
        <v>357</v>
      </c>
      <c r="C176" s="3">
        <v>32.02</v>
      </c>
      <c r="D176" s="3">
        <v>0.78</v>
      </c>
      <c r="E176" s="3">
        <v>150.1</v>
      </c>
      <c r="F176" s="3">
        <v>102.28</v>
      </c>
      <c r="G176" s="3">
        <v>0</v>
      </c>
      <c r="H176" s="3">
        <v>0</v>
      </c>
      <c r="I176" s="3">
        <v>0</v>
      </c>
      <c r="J176" s="3">
        <v>10811.28</v>
      </c>
      <c r="K176" s="3">
        <v>114165.75</v>
      </c>
      <c r="L176" s="3">
        <v>40250</v>
      </c>
      <c r="M176" s="3">
        <v>0</v>
      </c>
      <c r="N176" s="3">
        <v>42.9</v>
      </c>
      <c r="O176" s="3">
        <v>79.90000000000001</v>
      </c>
      <c r="P176" s="3">
        <v>42.9</v>
      </c>
      <c r="Q176" s="3">
        <v>0</v>
      </c>
    </row>
    <row r="177" spans="1:17">
      <c r="A177" t="s">
        <v>358</v>
      </c>
      <c r="B177" t="s">
        <v>359</v>
      </c>
      <c r="C177" s="3">
        <v>31.83</v>
      </c>
      <c r="D177" s="3">
        <v>0.9</v>
      </c>
      <c r="E177" s="3">
        <v>148.21</v>
      </c>
      <c r="F177" s="3">
        <v>46.69</v>
      </c>
      <c r="G177" s="3">
        <v>0</v>
      </c>
      <c r="H177" s="3">
        <v>0</v>
      </c>
      <c r="I177" s="3">
        <v>0</v>
      </c>
      <c r="J177" s="3">
        <v>10379.31</v>
      </c>
      <c r="K177" s="3">
        <v>112767.12</v>
      </c>
      <c r="L177" s="3">
        <v>38478.53</v>
      </c>
      <c r="M177" s="3">
        <v>0</v>
      </c>
      <c r="N177" s="3">
        <v>43.6</v>
      </c>
      <c r="O177" s="3">
        <v>80.8</v>
      </c>
      <c r="P177" s="3">
        <v>43.6</v>
      </c>
      <c r="Q177" s="3">
        <v>0</v>
      </c>
    </row>
    <row r="178" spans="1:17">
      <c r="A178" t="s">
        <v>360</v>
      </c>
      <c r="B178" t="s">
        <v>361</v>
      </c>
      <c r="C178" s="3">
        <v>31.64</v>
      </c>
      <c r="D178" s="3">
        <v>0.71</v>
      </c>
      <c r="E178" s="3">
        <v>145.9</v>
      </c>
      <c r="F178" s="3">
        <v>46.81</v>
      </c>
      <c r="G178" s="3">
        <v>0</v>
      </c>
      <c r="H178" s="3">
        <v>0</v>
      </c>
      <c r="I178" s="3">
        <v>0</v>
      </c>
      <c r="J178" s="3">
        <v>10666.67</v>
      </c>
      <c r="K178" s="3">
        <v>123591.84</v>
      </c>
      <c r="L178" s="3">
        <v>41468.35</v>
      </c>
      <c r="M178" s="3">
        <v>0</v>
      </c>
      <c r="N178" s="3">
        <v>38.2</v>
      </c>
      <c r="O178" s="3">
        <v>79.3</v>
      </c>
      <c r="P178" s="3">
        <v>38.2</v>
      </c>
      <c r="Q178" s="3">
        <v>0</v>
      </c>
    </row>
    <row r="179" spans="1:17">
      <c r="A179" t="s">
        <v>362</v>
      </c>
      <c r="B179" t="s">
        <v>363</v>
      </c>
      <c r="C179" s="3">
        <v>31.4</v>
      </c>
      <c r="D179" s="3">
        <v>0.66</v>
      </c>
      <c r="E179" s="3">
        <v>143.13</v>
      </c>
      <c r="F179" s="3">
        <v>54.99</v>
      </c>
      <c r="G179" s="3">
        <v>0</v>
      </c>
      <c r="H179" s="3">
        <v>0</v>
      </c>
      <c r="I179" s="3">
        <v>0</v>
      </c>
      <c r="J179" s="3">
        <v>11248.91</v>
      </c>
      <c r="K179" s="3">
        <v>120504.3</v>
      </c>
      <c r="L179" s="3">
        <v>43837.93</v>
      </c>
      <c r="M179" s="3">
        <v>0</v>
      </c>
      <c r="N179" s="3">
        <v>39.7</v>
      </c>
      <c r="O179" s="3">
        <v>78.09999999999999</v>
      </c>
      <c r="P179" s="3">
        <v>39.7</v>
      </c>
      <c r="Q179" s="3">
        <v>0</v>
      </c>
    </row>
    <row r="180" spans="1:17">
      <c r="A180" t="s">
        <v>364</v>
      </c>
      <c r="B180" t="s">
        <v>365</v>
      </c>
      <c r="C180" s="3">
        <v>31.17</v>
      </c>
      <c r="D180" s="3">
        <v>0.7</v>
      </c>
      <c r="E180" s="3">
        <v>140.57</v>
      </c>
      <c r="F180" s="3">
        <v>32.3</v>
      </c>
      <c r="G180" s="3">
        <v>0</v>
      </c>
      <c r="H180" s="3">
        <v>0</v>
      </c>
      <c r="I180" s="3">
        <v>0</v>
      </c>
      <c r="J180" s="3">
        <v>11102.4</v>
      </c>
      <c r="K180" s="3">
        <v>122034.68</v>
      </c>
      <c r="L180" s="3">
        <v>42717.95</v>
      </c>
      <c r="M180" s="3">
        <v>0</v>
      </c>
      <c r="N180" s="3">
        <v>39</v>
      </c>
      <c r="O180" s="3">
        <v>78.59999999999999</v>
      </c>
      <c r="P180" s="3">
        <v>39</v>
      </c>
      <c r="Q180" s="3">
        <v>0</v>
      </c>
    </row>
    <row r="181" spans="1:17">
      <c r="A181" t="s">
        <v>366</v>
      </c>
      <c r="B181" t="s">
        <v>367</v>
      </c>
      <c r="C181" s="3">
        <v>30.93</v>
      </c>
      <c r="D181" s="3">
        <v>0.72</v>
      </c>
      <c r="E181" s="3">
        <v>138.76</v>
      </c>
      <c r="F181" s="3">
        <v>52.8</v>
      </c>
      <c r="G181" s="3">
        <v>0</v>
      </c>
      <c r="H181" s="3">
        <v>0</v>
      </c>
      <c r="I181" s="3">
        <v>0</v>
      </c>
      <c r="J181" s="3">
        <v>11102.4</v>
      </c>
      <c r="K181" s="3">
        <v>125710.91</v>
      </c>
      <c r="L181" s="3">
        <v>44162.6</v>
      </c>
      <c r="M181" s="3">
        <v>0</v>
      </c>
      <c r="N181" s="3">
        <v>37.1</v>
      </c>
      <c r="O181" s="3">
        <v>77.90000000000001</v>
      </c>
      <c r="P181" s="3">
        <v>37.1</v>
      </c>
      <c r="Q181" s="3">
        <v>0</v>
      </c>
    </row>
    <row r="182" spans="1:17">
      <c r="A182" t="s">
        <v>368</v>
      </c>
      <c r="B182" t="s">
        <v>369</v>
      </c>
      <c r="C182" s="3">
        <v>30.73</v>
      </c>
      <c r="D182" s="3">
        <v>1</v>
      </c>
      <c r="E182" s="3">
        <v>136.95</v>
      </c>
      <c r="F182" s="3">
        <v>57.72</v>
      </c>
      <c r="G182" s="3">
        <v>0</v>
      </c>
      <c r="H182" s="3">
        <v>0</v>
      </c>
      <c r="I182" s="3">
        <v>0</v>
      </c>
      <c r="J182" s="3">
        <v>10811.28</v>
      </c>
      <c r="K182" s="3">
        <v>115111.11</v>
      </c>
      <c r="L182" s="3">
        <v>42560</v>
      </c>
      <c r="M182" s="3">
        <v>0</v>
      </c>
      <c r="N182" s="3">
        <v>42.4</v>
      </c>
      <c r="O182" s="3">
        <v>78.7</v>
      </c>
      <c r="P182" s="3">
        <v>42.4</v>
      </c>
      <c r="Q182" s="3">
        <v>0</v>
      </c>
    </row>
    <row r="183" spans="1:17">
      <c r="A183" t="s">
        <v>370</v>
      </c>
      <c r="B183" t="s">
        <v>371</v>
      </c>
      <c r="C183" s="3">
        <v>30.57</v>
      </c>
      <c r="D183" s="3">
        <v>0.88</v>
      </c>
      <c r="E183" s="3">
        <v>135.12</v>
      </c>
      <c r="F183" s="3">
        <v>47.17</v>
      </c>
      <c r="G183" s="3">
        <v>0</v>
      </c>
      <c r="H183" s="3">
        <v>0</v>
      </c>
      <c r="I183" s="3">
        <v>0</v>
      </c>
      <c r="J183" s="3">
        <v>10450.92</v>
      </c>
      <c r="K183" s="3">
        <v>122034.68</v>
      </c>
      <c r="L183" s="3">
        <v>41777.78</v>
      </c>
      <c r="M183" s="3">
        <v>0</v>
      </c>
      <c r="N183" s="3">
        <v>39</v>
      </c>
      <c r="O183" s="3">
        <v>79.09999999999999</v>
      </c>
      <c r="P183" s="3">
        <v>39</v>
      </c>
      <c r="Q183" s="3">
        <v>0</v>
      </c>
    </row>
    <row r="184" spans="1:17">
      <c r="A184" t="s">
        <v>372</v>
      </c>
      <c r="B184" t="s">
        <v>373</v>
      </c>
      <c r="C184" s="3">
        <v>30.36</v>
      </c>
      <c r="D184" s="3">
        <v>0.77</v>
      </c>
      <c r="E184" s="3">
        <v>133.35</v>
      </c>
      <c r="F184" s="3">
        <v>46.22</v>
      </c>
      <c r="G184" s="3">
        <v>0</v>
      </c>
      <c r="H184" s="3">
        <v>0</v>
      </c>
      <c r="I184" s="3">
        <v>0</v>
      </c>
      <c r="J184" s="3">
        <v>10883.82</v>
      </c>
      <c r="K184" s="3">
        <v>125710.91</v>
      </c>
      <c r="L184" s="3">
        <v>45482.7</v>
      </c>
      <c r="M184" s="3">
        <v>0</v>
      </c>
      <c r="N184" s="3">
        <v>37.1</v>
      </c>
      <c r="O184" s="3">
        <v>77.3</v>
      </c>
      <c r="P184" s="3">
        <v>37.1</v>
      </c>
      <c r="Q184" s="3">
        <v>0</v>
      </c>
    </row>
    <row r="185" spans="1:17">
      <c r="A185" t="s">
        <v>374</v>
      </c>
      <c r="B185" t="s">
        <v>375</v>
      </c>
      <c r="C185" s="3">
        <v>30.13</v>
      </c>
      <c r="D185" s="3">
        <v>0.8</v>
      </c>
      <c r="E185" s="3">
        <v>131.49</v>
      </c>
      <c r="F185" s="3">
        <v>50.49</v>
      </c>
      <c r="G185" s="3">
        <v>0</v>
      </c>
      <c r="H185" s="3">
        <v>0</v>
      </c>
      <c r="I185" s="3">
        <v>0</v>
      </c>
      <c r="J185" s="3">
        <v>11322.4</v>
      </c>
      <c r="K185" s="3">
        <v>125176.47</v>
      </c>
      <c r="L185" s="3">
        <v>48054.05</v>
      </c>
      <c r="M185" s="3">
        <v>0</v>
      </c>
      <c r="N185" s="3">
        <v>37.4</v>
      </c>
      <c r="O185" s="3">
        <v>76</v>
      </c>
      <c r="P185" s="3">
        <v>37.4</v>
      </c>
      <c r="Q185" s="3">
        <v>0</v>
      </c>
    </row>
    <row r="186" spans="1:17">
      <c r="A186" t="s">
        <v>376</v>
      </c>
      <c r="B186" t="s">
        <v>377</v>
      </c>
      <c r="C186" s="3">
        <v>29.93</v>
      </c>
      <c r="D186" s="3">
        <v>0.87</v>
      </c>
      <c r="E186" s="3">
        <v>129.77</v>
      </c>
      <c r="F186" s="3">
        <v>83.73</v>
      </c>
      <c r="G186" s="3">
        <v>0</v>
      </c>
      <c r="H186" s="3">
        <v>0</v>
      </c>
      <c r="I186" s="3">
        <v>0</v>
      </c>
      <c r="J186" s="3">
        <v>11322.4</v>
      </c>
      <c r="K186" s="3">
        <v>125710.91</v>
      </c>
      <c r="L186" s="3">
        <v>48584.04</v>
      </c>
      <c r="M186" s="3">
        <v>0</v>
      </c>
      <c r="N186" s="3">
        <v>37.1</v>
      </c>
      <c r="O186" s="3">
        <v>75.7</v>
      </c>
      <c r="P186" s="3">
        <v>37.1</v>
      </c>
      <c r="Q186" s="3">
        <v>0</v>
      </c>
    </row>
    <row r="187" spans="1:17">
      <c r="A187" t="s">
        <v>378</v>
      </c>
      <c r="B187" t="s">
        <v>379</v>
      </c>
      <c r="C187" s="3">
        <v>29.77</v>
      </c>
      <c r="D187" s="3">
        <v>0.87</v>
      </c>
      <c r="E187" s="3">
        <v>127.87</v>
      </c>
      <c r="F187" s="3">
        <v>68.92</v>
      </c>
      <c r="G187" s="3">
        <v>0</v>
      </c>
      <c r="H187" s="3">
        <v>1</v>
      </c>
      <c r="I187" s="3">
        <v>1</v>
      </c>
      <c r="J187" s="3">
        <v>10811.28</v>
      </c>
      <c r="K187" s="3">
        <v>115587.74</v>
      </c>
      <c r="L187" s="3">
        <v>44653.59</v>
      </c>
      <c r="M187" s="3">
        <v>0</v>
      </c>
      <c r="N187" s="3">
        <v>42.2</v>
      </c>
      <c r="O187" s="3">
        <v>77.7</v>
      </c>
      <c r="P187" s="3">
        <v>42.2</v>
      </c>
      <c r="Q187" s="3">
        <v>0</v>
      </c>
    </row>
    <row r="188" spans="1:17">
      <c r="A188" t="s">
        <v>380</v>
      </c>
      <c r="B188" t="s">
        <v>381</v>
      </c>
      <c r="C188" s="3">
        <v>29.63</v>
      </c>
      <c r="D188" s="3">
        <v>1.01</v>
      </c>
      <c r="E188" s="3">
        <v>126.09</v>
      </c>
      <c r="F188" s="3">
        <v>48.83</v>
      </c>
      <c r="G188" s="3">
        <v>0</v>
      </c>
      <c r="H188" s="3">
        <v>1</v>
      </c>
      <c r="I188" s="3">
        <v>1</v>
      </c>
      <c r="J188" s="3">
        <v>10450.92</v>
      </c>
      <c r="K188" s="3">
        <v>110486.49</v>
      </c>
      <c r="L188" s="3">
        <v>42245.61</v>
      </c>
      <c r="M188" s="3">
        <v>0</v>
      </c>
      <c r="N188" s="3">
        <v>44.8</v>
      </c>
      <c r="O188" s="3">
        <v>78.90000000000001</v>
      </c>
      <c r="P188" s="3">
        <v>44.8</v>
      </c>
      <c r="Q188" s="3">
        <v>0</v>
      </c>
    </row>
    <row r="189" spans="1:17">
      <c r="A189" t="s">
        <v>382</v>
      </c>
      <c r="B189" t="s">
        <v>383</v>
      </c>
      <c r="C189" s="3">
        <v>29.49</v>
      </c>
      <c r="D189" s="3">
        <v>0.87</v>
      </c>
      <c r="E189" s="3">
        <v>124.36</v>
      </c>
      <c r="F189" s="3">
        <v>50.55</v>
      </c>
      <c r="G189" s="3">
        <v>0</v>
      </c>
      <c r="H189" s="3">
        <v>1</v>
      </c>
      <c r="I189" s="3">
        <v>1</v>
      </c>
      <c r="J189" s="3">
        <v>10307.86</v>
      </c>
      <c r="K189" s="3">
        <v>114637.12</v>
      </c>
      <c r="L189" s="3">
        <v>42245.61</v>
      </c>
      <c r="M189" s="3">
        <v>0</v>
      </c>
      <c r="N189" s="3">
        <v>42.7</v>
      </c>
      <c r="O189" s="3">
        <v>78.90000000000001</v>
      </c>
      <c r="P189" s="3">
        <v>42.7</v>
      </c>
      <c r="Q189" s="3">
        <v>0</v>
      </c>
    </row>
    <row r="190" spans="1:17">
      <c r="A190" t="s">
        <v>384</v>
      </c>
      <c r="B190" t="s">
        <v>385</v>
      </c>
      <c r="C190" s="3">
        <v>29.31</v>
      </c>
      <c r="D190" s="3">
        <v>1.05</v>
      </c>
      <c r="E190" s="3">
        <v>122.78</v>
      </c>
      <c r="F190" s="3">
        <v>48.53</v>
      </c>
      <c r="G190" s="3">
        <v>0</v>
      </c>
      <c r="H190" s="3">
        <v>1</v>
      </c>
      <c r="I190" s="3">
        <v>1</v>
      </c>
      <c r="J190" s="3">
        <v>10379.31</v>
      </c>
      <c r="K190" s="3">
        <v>115587.74</v>
      </c>
      <c r="L190" s="3">
        <v>43354.84</v>
      </c>
      <c r="M190" s="3">
        <v>0</v>
      </c>
      <c r="N190" s="3">
        <v>42.2</v>
      </c>
      <c r="O190" s="3">
        <v>78.3</v>
      </c>
      <c r="P190" s="3">
        <v>42.2</v>
      </c>
      <c r="Q190" s="3">
        <v>0</v>
      </c>
    </row>
    <row r="191" spans="1:17">
      <c r="A191" t="s">
        <v>386</v>
      </c>
      <c r="B191" t="s">
        <v>387</v>
      </c>
      <c r="C191" s="3">
        <v>29.16</v>
      </c>
      <c r="D191" s="3">
        <v>0.96</v>
      </c>
      <c r="E191" s="3">
        <v>121.03</v>
      </c>
      <c r="F191" s="3">
        <v>95.23</v>
      </c>
      <c r="G191" s="3">
        <v>0</v>
      </c>
      <c r="H191" s="3">
        <v>1</v>
      </c>
      <c r="I191" s="3">
        <v>1</v>
      </c>
      <c r="J191" s="3">
        <v>10594.59</v>
      </c>
      <c r="K191" s="3">
        <v>117521.13</v>
      </c>
      <c r="L191" s="3">
        <v>45482.7</v>
      </c>
      <c r="M191" s="3">
        <v>0</v>
      </c>
      <c r="N191" s="3">
        <v>41.2</v>
      </c>
      <c r="O191" s="3">
        <v>77.3</v>
      </c>
      <c r="P191" s="3">
        <v>41.2</v>
      </c>
      <c r="Q191" s="3">
        <v>0</v>
      </c>
    </row>
    <row r="192" spans="1:17">
      <c r="A192" t="s">
        <v>388</v>
      </c>
      <c r="B192" t="s">
        <v>389</v>
      </c>
      <c r="C192" s="3">
        <v>28.99</v>
      </c>
      <c r="D192" s="3">
        <v>1.11</v>
      </c>
      <c r="E192" s="3">
        <v>119.45</v>
      </c>
      <c r="F192" s="3">
        <v>57.18</v>
      </c>
      <c r="G192" s="3">
        <v>0</v>
      </c>
      <c r="H192" s="3">
        <v>1</v>
      </c>
      <c r="I192" s="3">
        <v>1</v>
      </c>
      <c r="J192" s="3">
        <v>10450.92</v>
      </c>
      <c r="K192" s="3">
        <v>110037.74</v>
      </c>
      <c r="L192" s="3">
        <v>43676.38</v>
      </c>
      <c r="M192" s="3">
        <v>0</v>
      </c>
      <c r="N192" s="3">
        <v>45</v>
      </c>
      <c r="O192" s="3">
        <v>78.2</v>
      </c>
      <c r="P192" s="3">
        <v>45</v>
      </c>
      <c r="Q192" s="3">
        <v>0</v>
      </c>
    </row>
    <row r="193" spans="1:17">
      <c r="A193" t="s">
        <v>390</v>
      </c>
      <c r="B193" t="s">
        <v>391</v>
      </c>
      <c r="C193" s="3">
        <v>28.85</v>
      </c>
      <c r="D193" s="3">
        <v>1.23</v>
      </c>
      <c r="E193" s="3">
        <v>117.76</v>
      </c>
      <c r="F193" s="3">
        <v>52.32</v>
      </c>
      <c r="G193" s="3">
        <v>0</v>
      </c>
      <c r="H193" s="3">
        <v>1</v>
      </c>
      <c r="I193" s="3">
        <v>1</v>
      </c>
      <c r="J193" s="3">
        <v>10165.41</v>
      </c>
      <c r="K193" s="3">
        <v>111391.3</v>
      </c>
      <c r="L193" s="3">
        <v>42717.95</v>
      </c>
      <c r="M193" s="3">
        <v>0</v>
      </c>
      <c r="N193" s="3">
        <v>44.3</v>
      </c>
      <c r="O193" s="3">
        <v>78.59999999999999</v>
      </c>
      <c r="P193" s="3">
        <v>44.3</v>
      </c>
      <c r="Q193" s="3">
        <v>0</v>
      </c>
    </row>
    <row r="194" spans="1:17">
      <c r="A194" t="s">
        <v>392</v>
      </c>
      <c r="B194" t="s">
        <v>393</v>
      </c>
      <c r="C194" s="3">
        <v>28.69</v>
      </c>
      <c r="D194" s="3">
        <v>1.1</v>
      </c>
      <c r="E194" s="3">
        <v>116.16</v>
      </c>
      <c r="F194" s="3">
        <v>113.77</v>
      </c>
      <c r="G194" s="3">
        <v>1</v>
      </c>
      <c r="H194" s="3">
        <v>1</v>
      </c>
      <c r="I194" s="3">
        <v>1</v>
      </c>
      <c r="J194" s="3">
        <v>10023.58</v>
      </c>
      <c r="K194" s="3">
        <v>111391.3</v>
      </c>
      <c r="L194" s="3">
        <v>42402.56</v>
      </c>
      <c r="M194" s="3">
        <v>0</v>
      </c>
      <c r="N194" s="3">
        <v>44.3</v>
      </c>
      <c r="O194" s="3">
        <v>78.8</v>
      </c>
      <c r="P194" s="3">
        <v>44.3</v>
      </c>
      <c r="Q194" s="3">
        <v>0</v>
      </c>
    </row>
    <row r="195" spans="1:17">
      <c r="A195" t="s">
        <v>394</v>
      </c>
      <c r="B195" t="s">
        <v>395</v>
      </c>
      <c r="C195" s="3">
        <v>28.5</v>
      </c>
      <c r="D195" s="3">
        <v>1.19</v>
      </c>
      <c r="E195" s="3">
        <v>114.57</v>
      </c>
      <c r="F195" s="3">
        <v>57.18</v>
      </c>
      <c r="G195" s="3">
        <v>1</v>
      </c>
      <c r="H195" s="3">
        <v>1</v>
      </c>
      <c r="I195" s="3">
        <v>1</v>
      </c>
      <c r="J195" s="3">
        <v>10522.68</v>
      </c>
      <c r="K195" s="3">
        <v>113696.97</v>
      </c>
      <c r="L195" s="3">
        <v>46495.84</v>
      </c>
      <c r="M195" s="3">
        <v>0</v>
      </c>
      <c r="N195" s="3">
        <v>43.2</v>
      </c>
      <c r="O195" s="3">
        <v>76.8</v>
      </c>
      <c r="P195" s="3">
        <v>43.2</v>
      </c>
      <c r="Q195" s="3">
        <v>0</v>
      </c>
    </row>
    <row r="196" spans="1:17">
      <c r="A196" t="s">
        <v>396</v>
      </c>
      <c r="B196" t="s">
        <v>397</v>
      </c>
      <c r="C196" s="3">
        <v>28.32</v>
      </c>
      <c r="D196" s="3">
        <v>1.19</v>
      </c>
      <c r="E196" s="3">
        <v>113</v>
      </c>
      <c r="F196" s="3">
        <v>46.34</v>
      </c>
      <c r="G196" s="3">
        <v>1</v>
      </c>
      <c r="H196" s="3">
        <v>1</v>
      </c>
      <c r="I196" s="3">
        <v>1</v>
      </c>
      <c r="J196" s="3">
        <v>10379.31</v>
      </c>
      <c r="K196" s="3">
        <v>114165.75</v>
      </c>
      <c r="L196" s="3">
        <v>45315.79</v>
      </c>
      <c r="M196" s="3">
        <v>0</v>
      </c>
      <c r="N196" s="3">
        <v>42.9</v>
      </c>
      <c r="O196" s="3">
        <v>77.3</v>
      </c>
      <c r="P196" s="3">
        <v>42.9</v>
      </c>
      <c r="Q196" s="3">
        <v>0</v>
      </c>
    </row>
    <row r="197" spans="1:17">
      <c r="A197" t="s">
        <v>398</v>
      </c>
      <c r="B197" t="s">
        <v>399</v>
      </c>
      <c r="C197" s="3">
        <v>28.14</v>
      </c>
      <c r="D197" s="3">
        <v>1.2</v>
      </c>
      <c r="E197" s="3">
        <v>111.32</v>
      </c>
      <c r="F197" s="3">
        <v>46.4</v>
      </c>
      <c r="G197" s="3">
        <v>0</v>
      </c>
      <c r="H197" s="3">
        <v>0</v>
      </c>
      <c r="I197" s="3">
        <v>0</v>
      </c>
      <c r="J197" s="3">
        <v>10738.89</v>
      </c>
      <c r="K197" s="3">
        <v>119498.58</v>
      </c>
      <c r="L197" s="3">
        <v>49479.45</v>
      </c>
      <c r="M197" s="3">
        <v>0</v>
      </c>
      <c r="N197" s="3">
        <v>40.3</v>
      </c>
      <c r="O197" s="3">
        <v>75.3</v>
      </c>
      <c r="P197" s="3">
        <v>40.3</v>
      </c>
      <c r="Q197" s="3">
        <v>0</v>
      </c>
    </row>
    <row r="198" spans="1:17">
      <c r="A198" t="s">
        <v>400</v>
      </c>
      <c r="B198" t="s">
        <v>401</v>
      </c>
      <c r="C198" s="3">
        <v>27.99</v>
      </c>
      <c r="D198" s="3">
        <v>1.08</v>
      </c>
      <c r="E198" s="3">
        <v>109.79</v>
      </c>
      <c r="F198" s="3">
        <v>64.89</v>
      </c>
      <c r="G198" s="3">
        <v>0</v>
      </c>
      <c r="H198" s="3">
        <v>0</v>
      </c>
      <c r="I198" s="3">
        <v>0</v>
      </c>
      <c r="J198" s="3">
        <v>10811.28</v>
      </c>
      <c r="K198" s="3">
        <v>123069.77</v>
      </c>
      <c r="L198" s="3">
        <v>50390.33</v>
      </c>
      <c r="M198" s="3">
        <v>0</v>
      </c>
      <c r="N198" s="3">
        <v>38.5</v>
      </c>
      <c r="O198" s="3">
        <v>74.8</v>
      </c>
      <c r="P198" s="3">
        <v>38.5</v>
      </c>
      <c r="Q198" s="3">
        <v>0</v>
      </c>
    </row>
    <row r="199" spans="1:17">
      <c r="A199" t="s">
        <v>402</v>
      </c>
      <c r="B199" t="s">
        <v>403</v>
      </c>
      <c r="C199" s="3">
        <v>27.85</v>
      </c>
      <c r="D199" s="3">
        <v>1.17</v>
      </c>
      <c r="E199" s="3">
        <v>108.16</v>
      </c>
      <c r="F199" s="3">
        <v>49.54</v>
      </c>
      <c r="G199" s="3">
        <v>0</v>
      </c>
      <c r="H199" s="3">
        <v>0</v>
      </c>
      <c r="I199" s="3">
        <v>0</v>
      </c>
      <c r="J199" s="3">
        <v>10666.67</v>
      </c>
      <c r="K199" s="3">
        <v>115111.11</v>
      </c>
      <c r="L199" s="3">
        <v>48406.78</v>
      </c>
      <c r="M199" s="3">
        <v>0</v>
      </c>
      <c r="N199" s="3">
        <v>42.4</v>
      </c>
      <c r="O199" s="3">
        <v>75.8</v>
      </c>
      <c r="P199" s="3">
        <v>42.4</v>
      </c>
      <c r="Q199" s="3">
        <v>0</v>
      </c>
    </row>
    <row r="200" spans="1:17">
      <c r="A200" t="s">
        <v>404</v>
      </c>
      <c r="B200" t="s">
        <v>405</v>
      </c>
      <c r="C200" s="3">
        <v>27.66</v>
      </c>
      <c r="D200" s="3">
        <v>1.1</v>
      </c>
      <c r="E200" s="3">
        <v>106.58</v>
      </c>
      <c r="F200" s="3">
        <v>55.17</v>
      </c>
      <c r="G200" s="3">
        <v>0</v>
      </c>
      <c r="H200" s="3">
        <v>0</v>
      </c>
      <c r="I200" s="3">
        <v>0</v>
      </c>
      <c r="J200" s="3">
        <v>10811.28</v>
      </c>
      <c r="K200" s="3">
        <v>124116.96</v>
      </c>
      <c r="L200" s="3">
        <v>51130.43</v>
      </c>
      <c r="M200" s="3">
        <v>0</v>
      </c>
      <c r="N200" s="3">
        <v>37.9</v>
      </c>
      <c r="O200" s="3">
        <v>74.40000000000001</v>
      </c>
      <c r="P200" s="3">
        <v>37.9</v>
      </c>
      <c r="Q200" s="3">
        <v>0</v>
      </c>
    </row>
    <row r="201" spans="1:17">
      <c r="A201" t="s">
        <v>406</v>
      </c>
      <c r="B201" t="s">
        <v>407</v>
      </c>
      <c r="C201" s="3">
        <v>27.48</v>
      </c>
      <c r="D201" s="3">
        <v>1.18</v>
      </c>
      <c r="E201" s="3">
        <v>105.14</v>
      </c>
      <c r="F201" s="3">
        <v>47.23</v>
      </c>
      <c r="G201" s="3">
        <v>0</v>
      </c>
      <c r="H201" s="3">
        <v>1</v>
      </c>
      <c r="I201" s="3">
        <v>1</v>
      </c>
      <c r="J201" s="3">
        <v>10811.28</v>
      </c>
      <c r="K201" s="3">
        <v>121011.49</v>
      </c>
      <c r="L201" s="3">
        <v>50574.39</v>
      </c>
      <c r="M201" s="3">
        <v>0</v>
      </c>
      <c r="N201" s="3">
        <v>39.5</v>
      </c>
      <c r="O201" s="3">
        <v>74.7</v>
      </c>
      <c r="P201" s="3">
        <v>39.5</v>
      </c>
      <c r="Q201" s="3">
        <v>0</v>
      </c>
    </row>
    <row r="202" spans="1:17">
      <c r="A202" t="s">
        <v>408</v>
      </c>
      <c r="B202" t="s">
        <v>409</v>
      </c>
      <c r="C202" s="3">
        <v>27.32</v>
      </c>
      <c r="D202" s="3">
        <v>1.13</v>
      </c>
      <c r="E202" s="3">
        <v>103.63</v>
      </c>
      <c r="F202" s="3">
        <v>49.72</v>
      </c>
      <c r="G202" s="3">
        <v>0</v>
      </c>
      <c r="H202" s="3">
        <v>1</v>
      </c>
      <c r="I202" s="3">
        <v>1</v>
      </c>
      <c r="J202" s="3">
        <v>10883.82</v>
      </c>
      <c r="K202" s="3">
        <v>124116.96</v>
      </c>
      <c r="L202" s="3">
        <v>52641.98</v>
      </c>
      <c r="M202" s="3">
        <v>0</v>
      </c>
      <c r="N202" s="3">
        <v>37.9</v>
      </c>
      <c r="O202" s="3">
        <v>73.7</v>
      </c>
      <c r="P202" s="3">
        <v>37.9</v>
      </c>
      <c r="Q202" s="3">
        <v>0</v>
      </c>
    </row>
    <row r="203" spans="1:17">
      <c r="A203" t="s">
        <v>410</v>
      </c>
      <c r="B203" t="s">
        <v>411</v>
      </c>
      <c r="C203" s="3">
        <v>27.17</v>
      </c>
      <c r="D203" s="3">
        <v>1.06</v>
      </c>
      <c r="E203" s="3">
        <v>102.26</v>
      </c>
      <c r="F203" s="3">
        <v>74.59999999999999</v>
      </c>
      <c r="G203" s="3">
        <v>0</v>
      </c>
      <c r="H203" s="3">
        <v>1</v>
      </c>
      <c r="I203" s="3">
        <v>2</v>
      </c>
      <c r="J203" s="3">
        <v>10811.28</v>
      </c>
      <c r="K203" s="3">
        <v>125176.47</v>
      </c>
      <c r="L203" s="3">
        <v>52450.7</v>
      </c>
      <c r="M203" s="3">
        <v>0</v>
      </c>
      <c r="N203" s="3">
        <v>37.4</v>
      </c>
      <c r="O203" s="3">
        <v>73.8</v>
      </c>
      <c r="P203" s="3">
        <v>37.4</v>
      </c>
      <c r="Q203" s="3">
        <v>0</v>
      </c>
    </row>
    <row r="204" spans="1:17">
      <c r="A204" t="s">
        <v>412</v>
      </c>
      <c r="B204" t="s">
        <v>413</v>
      </c>
      <c r="C204" s="3">
        <v>27.05</v>
      </c>
      <c r="D204" s="3">
        <v>1.22</v>
      </c>
      <c r="E204" s="3">
        <v>100.86</v>
      </c>
      <c r="F204" s="3">
        <v>89.54000000000001</v>
      </c>
      <c r="G204" s="3">
        <v>0</v>
      </c>
      <c r="H204" s="3">
        <v>1</v>
      </c>
      <c r="I204" s="3">
        <v>2</v>
      </c>
      <c r="J204" s="3">
        <v>10666.67</v>
      </c>
      <c r="K204" s="3">
        <v>119000</v>
      </c>
      <c r="L204" s="3">
        <v>50944.44</v>
      </c>
      <c r="M204" s="3">
        <v>0</v>
      </c>
      <c r="N204" s="3">
        <v>40.5</v>
      </c>
      <c r="O204" s="3">
        <v>74.5</v>
      </c>
      <c r="P204" s="3">
        <v>40.5</v>
      </c>
      <c r="Q204" s="3">
        <v>0</v>
      </c>
    </row>
    <row r="205" spans="1:17">
      <c r="A205" t="s">
        <v>414</v>
      </c>
      <c r="B205" t="s">
        <v>415</v>
      </c>
      <c r="C205" s="3">
        <v>26.91</v>
      </c>
      <c r="D205" s="3">
        <v>1.25</v>
      </c>
      <c r="E205" s="3">
        <v>99.52</v>
      </c>
      <c r="F205" s="3">
        <v>77.92</v>
      </c>
      <c r="G205" s="3">
        <v>0</v>
      </c>
      <c r="H205" s="3">
        <v>1</v>
      </c>
      <c r="I205" s="3">
        <v>2</v>
      </c>
      <c r="J205" s="3">
        <v>10666.67</v>
      </c>
      <c r="K205" s="3">
        <v>118011.3</v>
      </c>
      <c r="L205" s="3">
        <v>51317.07</v>
      </c>
      <c r="M205" s="3">
        <v>0</v>
      </c>
      <c r="N205" s="3">
        <v>41</v>
      </c>
      <c r="O205" s="3">
        <v>74.3</v>
      </c>
      <c r="P205" s="3">
        <v>41</v>
      </c>
      <c r="Q205" s="3">
        <v>0</v>
      </c>
    </row>
    <row r="206" spans="1:17">
      <c r="A206" t="s">
        <v>416</v>
      </c>
      <c r="B206" t="s">
        <v>417</v>
      </c>
      <c r="C206" s="3">
        <v>26.76</v>
      </c>
      <c r="D206" s="3">
        <v>1.15</v>
      </c>
      <c r="E206" s="3">
        <v>98.27</v>
      </c>
      <c r="F206" s="3">
        <v>45.33</v>
      </c>
      <c r="G206" s="3">
        <v>0</v>
      </c>
      <c r="H206" s="3">
        <v>1</v>
      </c>
      <c r="I206" s="3">
        <v>2</v>
      </c>
      <c r="J206" s="3">
        <v>10522.68</v>
      </c>
      <c r="K206" s="3">
        <v>121521.61</v>
      </c>
      <c r="L206" s="3">
        <v>50944.44</v>
      </c>
      <c r="M206" s="3">
        <v>0</v>
      </c>
      <c r="N206" s="3">
        <v>39.2</v>
      </c>
      <c r="O206" s="3">
        <v>74.5</v>
      </c>
      <c r="P206" s="3">
        <v>39.2</v>
      </c>
      <c r="Q206" s="3">
        <v>0</v>
      </c>
    </row>
    <row r="207" spans="1:17">
      <c r="A207" t="s">
        <v>418</v>
      </c>
      <c r="B207" t="s">
        <v>419</v>
      </c>
      <c r="C207" s="3">
        <v>26.65</v>
      </c>
      <c r="D207" s="3">
        <v>1.35</v>
      </c>
      <c r="E207" s="3">
        <v>96.93000000000001</v>
      </c>
      <c r="F207" s="3">
        <v>55.7</v>
      </c>
      <c r="G207" s="3">
        <v>0</v>
      </c>
      <c r="H207" s="3">
        <v>1</v>
      </c>
      <c r="I207" s="3">
        <v>2</v>
      </c>
      <c r="J207" s="3">
        <v>10307.86</v>
      </c>
      <c r="K207" s="3">
        <v>115111.11</v>
      </c>
      <c r="L207" s="3">
        <v>48940.37</v>
      </c>
      <c r="M207" s="3">
        <v>0</v>
      </c>
      <c r="N207" s="3">
        <v>42.4</v>
      </c>
      <c r="O207" s="3">
        <v>75.5</v>
      </c>
      <c r="P207" s="3">
        <v>42.4</v>
      </c>
      <c r="Q207" s="3">
        <v>0</v>
      </c>
    </row>
    <row r="208" spans="1:17">
      <c r="A208" t="s">
        <v>420</v>
      </c>
      <c r="B208" t="s">
        <v>421</v>
      </c>
      <c r="C208" s="3">
        <v>26.49</v>
      </c>
      <c r="D208" s="3">
        <v>1.33</v>
      </c>
      <c r="E208" s="3">
        <v>95.69</v>
      </c>
      <c r="F208" s="3">
        <v>58.07</v>
      </c>
      <c r="G208" s="3">
        <v>0</v>
      </c>
      <c r="H208" s="3">
        <v>1</v>
      </c>
      <c r="I208" s="3">
        <v>2</v>
      </c>
      <c r="J208" s="3">
        <v>10450.92</v>
      </c>
      <c r="K208" s="3">
        <v>117521.13</v>
      </c>
      <c r="L208" s="3">
        <v>51130.43</v>
      </c>
      <c r="M208" s="3">
        <v>0</v>
      </c>
      <c r="N208" s="3">
        <v>41.2</v>
      </c>
      <c r="O208" s="3">
        <v>74.40000000000001</v>
      </c>
      <c r="P208" s="3">
        <v>41.2</v>
      </c>
      <c r="Q208" s="3">
        <v>0</v>
      </c>
    </row>
    <row r="209" spans="1:17">
      <c r="A209" t="s">
        <v>422</v>
      </c>
      <c r="B209" t="s">
        <v>423</v>
      </c>
      <c r="C209" s="3">
        <v>26.36</v>
      </c>
      <c r="D209" s="3">
        <v>1.31</v>
      </c>
      <c r="E209" s="3">
        <v>94.38</v>
      </c>
      <c r="F209" s="3">
        <v>60.56</v>
      </c>
      <c r="G209" s="3">
        <v>0</v>
      </c>
      <c r="H209" s="3">
        <v>1</v>
      </c>
      <c r="I209" s="3">
        <v>2</v>
      </c>
      <c r="J209" s="3">
        <v>10236.56</v>
      </c>
      <c r="K209" s="3">
        <v>117033.71</v>
      </c>
      <c r="L209" s="3">
        <v>49299.15</v>
      </c>
      <c r="M209" s="3">
        <v>0</v>
      </c>
      <c r="N209" s="3">
        <v>41.5</v>
      </c>
      <c r="O209" s="3">
        <v>75.40000000000001</v>
      </c>
      <c r="P209" s="3">
        <v>41.5</v>
      </c>
      <c r="Q209" s="3">
        <v>0</v>
      </c>
    </row>
    <row r="210" spans="1:17">
      <c r="A210" t="s">
        <v>424</v>
      </c>
      <c r="B210" t="s">
        <v>425</v>
      </c>
      <c r="C210" s="3">
        <v>26.24</v>
      </c>
      <c r="D210" s="3">
        <v>1.37</v>
      </c>
      <c r="E210" s="3">
        <v>92.95999999999999</v>
      </c>
      <c r="F210" s="3">
        <v>54.28</v>
      </c>
      <c r="G210" s="3">
        <v>0</v>
      </c>
      <c r="H210" s="3">
        <v>1</v>
      </c>
      <c r="I210" s="3">
        <v>2</v>
      </c>
      <c r="J210" s="3">
        <v>10236.56</v>
      </c>
      <c r="K210" s="3">
        <v>118011.3</v>
      </c>
      <c r="L210" s="3">
        <v>50024.1</v>
      </c>
      <c r="M210" s="3">
        <v>0</v>
      </c>
      <c r="N210" s="3">
        <v>41</v>
      </c>
      <c r="O210" s="3">
        <v>75</v>
      </c>
      <c r="P210" s="3">
        <v>41</v>
      </c>
      <c r="Q210" s="3">
        <v>0</v>
      </c>
    </row>
    <row r="211" spans="1:17">
      <c r="A211" t="s">
        <v>426</v>
      </c>
      <c r="B211" t="s">
        <v>427</v>
      </c>
      <c r="C211" s="3">
        <v>26.13</v>
      </c>
      <c r="D211" s="3">
        <v>1.32</v>
      </c>
      <c r="E211" s="3">
        <v>91.06999999999999</v>
      </c>
      <c r="F211" s="3">
        <v>49.3</v>
      </c>
      <c r="G211" s="3">
        <v>0</v>
      </c>
      <c r="H211" s="3">
        <v>0</v>
      </c>
      <c r="I211" s="3">
        <v>1</v>
      </c>
      <c r="J211" s="3">
        <v>10379.31</v>
      </c>
      <c r="K211" s="3">
        <v>115111.11</v>
      </c>
      <c r="L211" s="3">
        <v>50759.1</v>
      </c>
      <c r="M211" s="3">
        <v>0</v>
      </c>
      <c r="N211" s="3">
        <v>42.4</v>
      </c>
      <c r="O211" s="3">
        <v>74.59999999999999</v>
      </c>
      <c r="P211" s="3">
        <v>42.4</v>
      </c>
      <c r="Q211" s="3">
        <v>0</v>
      </c>
    </row>
    <row r="212" spans="1:17">
      <c r="A212" t="s">
        <v>428</v>
      </c>
      <c r="B212" t="s">
        <v>429</v>
      </c>
      <c r="C212" s="3">
        <v>26</v>
      </c>
      <c r="D212" s="3">
        <v>1.12</v>
      </c>
      <c r="E212" s="3">
        <v>89.63</v>
      </c>
      <c r="F212" s="3">
        <v>101.45</v>
      </c>
      <c r="G212" s="3">
        <v>0</v>
      </c>
      <c r="H212" s="3">
        <v>0</v>
      </c>
      <c r="I212" s="3">
        <v>0</v>
      </c>
      <c r="J212" s="3">
        <v>10738.89</v>
      </c>
      <c r="K212" s="3">
        <v>127333.33</v>
      </c>
      <c r="L212" s="3">
        <v>55392.41</v>
      </c>
      <c r="M212" s="3">
        <v>0</v>
      </c>
      <c r="N212" s="3">
        <v>36.3</v>
      </c>
      <c r="O212" s="3">
        <v>72.3</v>
      </c>
      <c r="P212" s="3">
        <v>36.3</v>
      </c>
      <c r="Q212" s="3">
        <v>0</v>
      </c>
    </row>
    <row r="213" spans="1:17">
      <c r="A213" t="s">
        <v>430</v>
      </c>
      <c r="B213" t="s">
        <v>431</v>
      </c>
      <c r="C213" s="3">
        <v>25.86</v>
      </c>
      <c r="D213" s="3">
        <v>1.4</v>
      </c>
      <c r="E213" s="3">
        <v>88.48</v>
      </c>
      <c r="F213" s="3">
        <v>52.21</v>
      </c>
      <c r="G213" s="3">
        <v>0</v>
      </c>
      <c r="H213" s="3">
        <v>0</v>
      </c>
      <c r="I213" s="3">
        <v>0</v>
      </c>
      <c r="J213" s="3">
        <v>10522.68</v>
      </c>
      <c r="K213" s="3">
        <v>118011.3</v>
      </c>
      <c r="L213" s="3">
        <v>52641.98</v>
      </c>
      <c r="M213" s="3">
        <v>0</v>
      </c>
      <c r="N213" s="3">
        <v>41</v>
      </c>
      <c r="O213" s="3">
        <v>73.7</v>
      </c>
      <c r="P213" s="3">
        <v>41</v>
      </c>
      <c r="Q213" s="3">
        <v>0</v>
      </c>
    </row>
    <row r="214" spans="1:17">
      <c r="A214" t="s">
        <v>432</v>
      </c>
      <c r="B214" t="s">
        <v>433</v>
      </c>
      <c r="C214" s="3">
        <v>25.75</v>
      </c>
      <c r="D214" s="3">
        <v>1.4</v>
      </c>
      <c r="E214" s="3">
        <v>87.08</v>
      </c>
      <c r="F214" s="3">
        <v>69.81</v>
      </c>
      <c r="G214" s="3">
        <v>0</v>
      </c>
      <c r="H214" s="3">
        <v>0</v>
      </c>
      <c r="I214" s="3">
        <v>0</v>
      </c>
      <c r="J214" s="3">
        <v>10165.41</v>
      </c>
      <c r="K214" s="3">
        <v>113230.77</v>
      </c>
      <c r="L214" s="3">
        <v>49119.45</v>
      </c>
      <c r="M214" s="3">
        <v>0</v>
      </c>
      <c r="N214" s="3">
        <v>43.4</v>
      </c>
      <c r="O214" s="3">
        <v>75.40000000000001</v>
      </c>
      <c r="P214" s="3">
        <v>43.4</v>
      </c>
      <c r="Q214" s="3">
        <v>0</v>
      </c>
    </row>
    <row r="215" spans="1:17">
      <c r="A215" t="s">
        <v>434</v>
      </c>
      <c r="B215" t="s">
        <v>435</v>
      </c>
      <c r="C215" s="3">
        <v>25.65</v>
      </c>
      <c r="D215" s="3">
        <v>1.36</v>
      </c>
      <c r="E215" s="3">
        <v>85.83</v>
      </c>
      <c r="F215" s="3">
        <v>48.06</v>
      </c>
      <c r="G215" s="3">
        <v>0</v>
      </c>
      <c r="H215" s="3">
        <v>1</v>
      </c>
      <c r="I215" s="3">
        <v>1</v>
      </c>
      <c r="J215" s="3">
        <v>10023.58</v>
      </c>
      <c r="K215" s="3">
        <v>114637.12</v>
      </c>
      <c r="L215" s="3">
        <v>49299.15</v>
      </c>
      <c r="M215" s="3">
        <v>0</v>
      </c>
      <c r="N215" s="3">
        <v>42.7</v>
      </c>
      <c r="O215" s="3">
        <v>75.40000000000001</v>
      </c>
      <c r="P215" s="3">
        <v>42.7</v>
      </c>
      <c r="Q215" s="3">
        <v>0</v>
      </c>
    </row>
    <row r="216" spans="1:17">
      <c r="A216" t="s">
        <v>436</v>
      </c>
      <c r="B216" t="s">
        <v>437</v>
      </c>
      <c r="C216" s="3">
        <v>25.53</v>
      </c>
      <c r="D216" s="3">
        <v>1.5</v>
      </c>
      <c r="E216" s="3">
        <v>84.59999999999999</v>
      </c>
      <c r="F216" s="3">
        <v>48.53</v>
      </c>
      <c r="G216" s="3">
        <v>0</v>
      </c>
      <c r="H216" s="3">
        <v>1</v>
      </c>
      <c r="I216" s="3">
        <v>1</v>
      </c>
      <c r="J216" s="3">
        <v>9811.969999999999</v>
      </c>
      <c r="K216" s="3">
        <v>111391.3</v>
      </c>
      <c r="L216" s="3">
        <v>48054.05</v>
      </c>
      <c r="M216" s="3">
        <v>0</v>
      </c>
      <c r="N216" s="3">
        <v>44.3</v>
      </c>
      <c r="O216" s="3">
        <v>76</v>
      </c>
      <c r="P216" s="3">
        <v>44.3</v>
      </c>
      <c r="Q216" s="3">
        <v>0</v>
      </c>
    </row>
    <row r="217" spans="1:17">
      <c r="A217" t="s">
        <v>438</v>
      </c>
      <c r="B217" t="s">
        <v>439</v>
      </c>
      <c r="C217" s="3">
        <v>25.42</v>
      </c>
      <c r="D217" s="3">
        <v>1.4</v>
      </c>
      <c r="E217" s="3">
        <v>83.40000000000001</v>
      </c>
      <c r="F217" s="3">
        <v>46.69</v>
      </c>
      <c r="G217" s="3">
        <v>0</v>
      </c>
      <c r="H217" s="3">
        <v>1</v>
      </c>
      <c r="I217" s="3">
        <v>1</v>
      </c>
      <c r="J217" s="3">
        <v>10165.41</v>
      </c>
      <c r="K217" s="3">
        <v>116549.02</v>
      </c>
      <c r="L217" s="3">
        <v>51692.31</v>
      </c>
      <c r="M217" s="3">
        <v>0</v>
      </c>
      <c r="N217" s="3">
        <v>41.7</v>
      </c>
      <c r="O217" s="3">
        <v>74.2</v>
      </c>
      <c r="P217" s="3">
        <v>41.7</v>
      </c>
      <c r="Q217" s="3">
        <v>0</v>
      </c>
    </row>
    <row r="218" spans="1:17">
      <c r="A218" t="s">
        <v>440</v>
      </c>
      <c r="B218" t="s">
        <v>441</v>
      </c>
      <c r="C218" s="3">
        <v>25.31</v>
      </c>
      <c r="D218" s="3">
        <v>1.41</v>
      </c>
      <c r="E218" s="3">
        <v>82.22</v>
      </c>
      <c r="F218" s="3">
        <v>57.12</v>
      </c>
      <c r="G218" s="3">
        <v>0</v>
      </c>
      <c r="H218" s="3">
        <v>1</v>
      </c>
      <c r="I218" s="3">
        <v>2</v>
      </c>
      <c r="J218" s="3">
        <v>9882.35</v>
      </c>
      <c r="K218" s="3">
        <v>113696.97</v>
      </c>
      <c r="L218" s="3">
        <v>48940.37</v>
      </c>
      <c r="M218" s="3">
        <v>0</v>
      </c>
      <c r="N218" s="3">
        <v>43.2</v>
      </c>
      <c r="O218" s="3">
        <v>75.5</v>
      </c>
      <c r="P218" s="3">
        <v>43.2</v>
      </c>
      <c r="Q218" s="3">
        <v>0</v>
      </c>
    </row>
    <row r="219" spans="1:17">
      <c r="A219" t="s">
        <v>442</v>
      </c>
      <c r="B219" t="s">
        <v>443</v>
      </c>
      <c r="C219" s="3">
        <v>25.19</v>
      </c>
      <c r="D219" s="3">
        <v>1.4</v>
      </c>
      <c r="E219" s="3">
        <v>81.01000000000001</v>
      </c>
      <c r="F219" s="3">
        <v>104.29</v>
      </c>
      <c r="G219" s="3">
        <v>0</v>
      </c>
      <c r="H219" s="3">
        <v>1</v>
      </c>
      <c r="I219" s="3">
        <v>2</v>
      </c>
      <c r="J219" s="3">
        <v>9811.969999999999</v>
      </c>
      <c r="K219" s="3">
        <v>115111.11</v>
      </c>
      <c r="L219" s="3">
        <v>49119.45</v>
      </c>
      <c r="M219" s="3">
        <v>0</v>
      </c>
      <c r="N219" s="3">
        <v>42.4</v>
      </c>
      <c r="O219" s="3">
        <v>75.40000000000001</v>
      </c>
      <c r="P219" s="3">
        <v>42.4</v>
      </c>
      <c r="Q219" s="3">
        <v>0</v>
      </c>
    </row>
    <row r="220" spans="1:17">
      <c r="A220" t="s">
        <v>444</v>
      </c>
      <c r="B220" t="s">
        <v>445</v>
      </c>
      <c r="C220" s="3">
        <v>25.09</v>
      </c>
      <c r="D220" s="3">
        <v>1.42</v>
      </c>
      <c r="E220" s="3">
        <v>79.84999999999999</v>
      </c>
      <c r="F220" s="3">
        <v>53.39</v>
      </c>
      <c r="G220" s="3">
        <v>0</v>
      </c>
      <c r="H220" s="3">
        <v>1</v>
      </c>
      <c r="I220" s="3">
        <v>2</v>
      </c>
      <c r="J220" s="3">
        <v>9952.889999999999</v>
      </c>
      <c r="K220" s="3">
        <v>116067.04</v>
      </c>
      <c r="L220" s="3">
        <v>51130.43</v>
      </c>
      <c r="M220" s="3">
        <v>0</v>
      </c>
      <c r="N220" s="3">
        <v>42</v>
      </c>
      <c r="O220" s="3">
        <v>74.40000000000001</v>
      </c>
      <c r="P220" s="3">
        <v>42</v>
      </c>
      <c r="Q220" s="3">
        <v>0</v>
      </c>
    </row>
    <row r="221" spans="1:17">
      <c r="A221" t="s">
        <v>446</v>
      </c>
      <c r="B221" t="s">
        <v>447</v>
      </c>
      <c r="C221" s="3">
        <v>24.97</v>
      </c>
      <c r="D221" s="3">
        <v>1.39</v>
      </c>
      <c r="E221" s="3">
        <v>78.78</v>
      </c>
      <c r="F221" s="3">
        <v>75.91</v>
      </c>
      <c r="G221" s="3">
        <v>0</v>
      </c>
      <c r="H221" s="3">
        <v>1</v>
      </c>
      <c r="I221" s="3">
        <v>2</v>
      </c>
      <c r="J221" s="3">
        <v>9952.889999999999</v>
      </c>
      <c r="K221" s="3">
        <v>118504.25</v>
      </c>
      <c r="L221" s="3">
        <v>51504.36</v>
      </c>
      <c r="M221" s="3">
        <v>0</v>
      </c>
      <c r="N221" s="3">
        <v>40.7</v>
      </c>
      <c r="O221" s="3">
        <v>74.2</v>
      </c>
      <c r="P221" s="3">
        <v>40.7</v>
      </c>
      <c r="Q221" s="3">
        <v>0</v>
      </c>
    </row>
    <row r="222" spans="1:17">
      <c r="A222" t="s">
        <v>448</v>
      </c>
      <c r="B222" t="s">
        <v>449</v>
      </c>
      <c r="C222" s="3">
        <v>24.88</v>
      </c>
      <c r="D222" s="3">
        <v>1.53</v>
      </c>
      <c r="E222" s="3">
        <v>77.67</v>
      </c>
      <c r="F222" s="3">
        <v>42.9</v>
      </c>
      <c r="G222" s="3">
        <v>0</v>
      </c>
      <c r="H222" s="3">
        <v>0</v>
      </c>
      <c r="I222" s="3">
        <v>1</v>
      </c>
      <c r="J222" s="3">
        <v>9741.73</v>
      </c>
      <c r="K222" s="3">
        <v>114637.12</v>
      </c>
      <c r="L222" s="3">
        <v>49119.45</v>
      </c>
      <c r="M222" s="3">
        <v>0</v>
      </c>
      <c r="N222" s="3">
        <v>42.7</v>
      </c>
      <c r="O222" s="3">
        <v>75.40000000000001</v>
      </c>
      <c r="P222" s="3">
        <v>42.7</v>
      </c>
      <c r="Q222" s="3">
        <v>0</v>
      </c>
    </row>
    <row r="223" spans="1:17">
      <c r="A223" t="s">
        <v>450</v>
      </c>
      <c r="B223" t="s">
        <v>451</v>
      </c>
      <c r="C223" s="3">
        <v>24.8</v>
      </c>
      <c r="D223" s="3">
        <v>1.53</v>
      </c>
      <c r="E223" s="3">
        <v>76.51000000000001</v>
      </c>
      <c r="F223" s="3">
        <v>52.8</v>
      </c>
      <c r="G223" s="3">
        <v>0</v>
      </c>
      <c r="H223" s="3">
        <v>0</v>
      </c>
      <c r="I223" s="3">
        <v>1</v>
      </c>
      <c r="J223" s="3">
        <v>9671.639999999999</v>
      </c>
      <c r="K223" s="3">
        <v>110937.67</v>
      </c>
      <c r="L223" s="3">
        <v>48761.9</v>
      </c>
      <c r="M223" s="3">
        <v>0</v>
      </c>
      <c r="N223" s="3">
        <v>44.5</v>
      </c>
      <c r="O223" s="3">
        <v>75.59999999999999</v>
      </c>
      <c r="P223" s="3">
        <v>44.5</v>
      </c>
      <c r="Q223" s="3">
        <v>0</v>
      </c>
    </row>
    <row r="224" spans="1:17">
      <c r="A224" t="s">
        <v>452</v>
      </c>
      <c r="B224" t="s">
        <v>453</v>
      </c>
      <c r="C224" s="3">
        <v>24.73</v>
      </c>
      <c r="D224" s="3">
        <v>1.54</v>
      </c>
      <c r="E224" s="3">
        <v>75.45</v>
      </c>
      <c r="F224" s="3">
        <v>49.54</v>
      </c>
      <c r="G224" s="3">
        <v>0</v>
      </c>
      <c r="H224" s="3">
        <v>0</v>
      </c>
      <c r="I224" s="3">
        <v>1</v>
      </c>
      <c r="J224" s="3">
        <v>9462.27</v>
      </c>
      <c r="K224" s="3">
        <v>108705.88</v>
      </c>
      <c r="L224" s="3">
        <v>46495.84</v>
      </c>
      <c r="M224" s="3">
        <v>0</v>
      </c>
      <c r="N224" s="3">
        <v>45.6</v>
      </c>
      <c r="O224" s="3">
        <v>76.8</v>
      </c>
      <c r="P224" s="3">
        <v>45.6</v>
      </c>
      <c r="Q224" s="3">
        <v>0</v>
      </c>
    </row>
    <row r="225" spans="1:17">
      <c r="A225" t="s">
        <v>454</v>
      </c>
      <c r="B225" t="s">
        <v>455</v>
      </c>
      <c r="C225" s="3">
        <v>24.65</v>
      </c>
      <c r="D225" s="3">
        <v>1.59</v>
      </c>
      <c r="E225" s="3">
        <v>74.34</v>
      </c>
      <c r="F225" s="3">
        <v>58.61</v>
      </c>
      <c r="G225" s="3">
        <v>0</v>
      </c>
      <c r="H225" s="3">
        <v>0</v>
      </c>
      <c r="I225" s="3">
        <v>1</v>
      </c>
      <c r="J225" s="3">
        <v>9392.780000000001</v>
      </c>
      <c r="K225" s="3">
        <v>108266.67</v>
      </c>
      <c r="L225" s="3">
        <v>45818.18</v>
      </c>
      <c r="M225" s="3">
        <v>0</v>
      </c>
      <c r="N225" s="3">
        <v>45.9</v>
      </c>
      <c r="O225" s="3">
        <v>77.09999999999999</v>
      </c>
      <c r="P225" s="3">
        <v>45.9</v>
      </c>
      <c r="Q225" s="3">
        <v>0</v>
      </c>
    </row>
    <row r="226" spans="1:17">
      <c r="A226" t="s">
        <v>456</v>
      </c>
      <c r="B226" t="s">
        <v>457</v>
      </c>
      <c r="C226" s="3">
        <v>24.56</v>
      </c>
      <c r="D226" s="3">
        <v>1.55</v>
      </c>
      <c r="E226" s="3">
        <v>73.23</v>
      </c>
      <c r="F226" s="3">
        <v>73.06</v>
      </c>
      <c r="G226" s="3">
        <v>0</v>
      </c>
      <c r="H226" s="3">
        <v>0</v>
      </c>
      <c r="I226" s="3">
        <v>1</v>
      </c>
      <c r="J226" s="3">
        <v>9392.780000000001</v>
      </c>
      <c r="K226" s="3">
        <v>109147.45</v>
      </c>
      <c r="L226" s="3">
        <v>46838.06</v>
      </c>
      <c r="M226" s="3">
        <v>0</v>
      </c>
      <c r="N226" s="3">
        <v>45.4</v>
      </c>
      <c r="O226" s="3">
        <v>76.59999999999999</v>
      </c>
      <c r="P226" s="3">
        <v>45.4</v>
      </c>
      <c r="Q226" s="3">
        <v>0</v>
      </c>
    </row>
    <row r="227" spans="1:17">
      <c r="A227" t="s">
        <v>458</v>
      </c>
      <c r="B227" t="s">
        <v>459</v>
      </c>
      <c r="C227" s="3">
        <v>24.49</v>
      </c>
      <c r="D227" s="3">
        <v>1.58</v>
      </c>
      <c r="E227" s="3">
        <v>72.15000000000001</v>
      </c>
      <c r="F227" s="3">
        <v>51.73</v>
      </c>
      <c r="G227" s="3">
        <v>0</v>
      </c>
      <c r="H227" s="3">
        <v>0</v>
      </c>
      <c r="I227" s="3">
        <v>1</v>
      </c>
      <c r="J227" s="3">
        <v>9323.440000000001</v>
      </c>
      <c r="K227" s="3">
        <v>109591.4</v>
      </c>
      <c r="L227" s="3">
        <v>46838.06</v>
      </c>
      <c r="M227" s="3">
        <v>0</v>
      </c>
      <c r="N227" s="3">
        <v>45.2</v>
      </c>
      <c r="O227" s="3">
        <v>76.59999999999999</v>
      </c>
      <c r="P227" s="3">
        <v>45.2</v>
      </c>
      <c r="Q227" s="3">
        <v>0</v>
      </c>
    </row>
    <row r="228" spans="1:17">
      <c r="A228" t="s">
        <v>460</v>
      </c>
      <c r="B228" t="s">
        <v>461</v>
      </c>
      <c r="C228" s="3">
        <v>24.41</v>
      </c>
      <c r="D228" s="3">
        <v>1.48</v>
      </c>
      <c r="E228" s="3">
        <v>71.11</v>
      </c>
      <c r="F228" s="3">
        <v>50.9</v>
      </c>
      <c r="G228" s="3">
        <v>0</v>
      </c>
      <c r="H228" s="3">
        <v>0</v>
      </c>
      <c r="I228" s="3">
        <v>1</v>
      </c>
      <c r="J228" s="3">
        <v>9462.27</v>
      </c>
      <c r="K228" s="3">
        <v>112306.01</v>
      </c>
      <c r="L228" s="3">
        <v>48584.04</v>
      </c>
      <c r="M228" s="3">
        <v>0</v>
      </c>
      <c r="N228" s="3">
        <v>43.8</v>
      </c>
      <c r="O228" s="3">
        <v>75.7</v>
      </c>
      <c r="P228" s="3">
        <v>43.8</v>
      </c>
      <c r="Q228" s="3">
        <v>0</v>
      </c>
    </row>
    <row r="229" spans="1:17">
      <c r="A229" t="s">
        <v>462</v>
      </c>
      <c r="B229" t="s">
        <v>463</v>
      </c>
      <c r="C229" s="3">
        <v>24.32</v>
      </c>
      <c r="D229" s="3">
        <v>1.56</v>
      </c>
      <c r="E229" s="3">
        <v>70.06999999999999</v>
      </c>
      <c r="F229" s="3">
        <v>53.04</v>
      </c>
      <c r="G229" s="3">
        <v>0</v>
      </c>
      <c r="H229" s="3">
        <v>0</v>
      </c>
      <c r="I229" s="3">
        <v>1</v>
      </c>
      <c r="J229" s="3">
        <v>9392.780000000001</v>
      </c>
      <c r="K229" s="3">
        <v>111391.3</v>
      </c>
      <c r="L229" s="3">
        <v>47529.41</v>
      </c>
      <c r="M229" s="3">
        <v>0</v>
      </c>
      <c r="N229" s="3">
        <v>44.3</v>
      </c>
      <c r="O229" s="3">
        <v>76.2</v>
      </c>
      <c r="P229" s="3">
        <v>44.3</v>
      </c>
      <c r="Q229" s="3">
        <v>0</v>
      </c>
    </row>
    <row r="230" spans="1:17">
      <c r="A230" t="s">
        <v>464</v>
      </c>
      <c r="B230" t="s">
        <v>465</v>
      </c>
      <c r="C230" s="3">
        <v>24.22</v>
      </c>
      <c r="D230" s="3">
        <v>1.55</v>
      </c>
      <c r="E230" s="3">
        <v>69.08</v>
      </c>
      <c r="F230" s="3">
        <v>52.44</v>
      </c>
      <c r="G230" s="3">
        <v>0</v>
      </c>
      <c r="H230" s="3">
        <v>0</v>
      </c>
      <c r="I230" s="3">
        <v>0</v>
      </c>
      <c r="J230" s="3">
        <v>9392.780000000001</v>
      </c>
      <c r="K230" s="3">
        <v>110937.67</v>
      </c>
      <c r="L230" s="3">
        <v>48406.78</v>
      </c>
      <c r="M230" s="3">
        <v>0</v>
      </c>
      <c r="N230" s="3">
        <v>44.5</v>
      </c>
      <c r="O230" s="3">
        <v>75.8</v>
      </c>
      <c r="P230" s="3">
        <v>44.5</v>
      </c>
      <c r="Q230" s="3">
        <v>0</v>
      </c>
    </row>
    <row r="231" spans="1:17">
      <c r="A231" t="s">
        <v>466</v>
      </c>
      <c r="B231" t="s">
        <v>467</v>
      </c>
      <c r="C231" s="3">
        <v>24.15</v>
      </c>
      <c r="D231" s="3">
        <v>1.62</v>
      </c>
      <c r="E231" s="3">
        <v>68.05</v>
      </c>
      <c r="F231" s="3">
        <v>48.83</v>
      </c>
      <c r="G231" s="3">
        <v>0</v>
      </c>
      <c r="H231" s="3">
        <v>0</v>
      </c>
      <c r="I231" s="3">
        <v>0</v>
      </c>
      <c r="J231" s="3">
        <v>9185.190000000001</v>
      </c>
      <c r="K231" s="3">
        <v>108266.67</v>
      </c>
      <c r="L231" s="3">
        <v>45986.75</v>
      </c>
      <c r="M231" s="3">
        <v>0</v>
      </c>
      <c r="N231" s="3">
        <v>45.9</v>
      </c>
      <c r="O231" s="3">
        <v>77</v>
      </c>
      <c r="P231" s="3">
        <v>45.9</v>
      </c>
      <c r="Q231" s="3">
        <v>0</v>
      </c>
    </row>
    <row r="232" spans="1:17">
      <c r="A232" t="s">
        <v>468</v>
      </c>
      <c r="B232" t="s">
        <v>469</v>
      </c>
      <c r="C232" s="3">
        <v>24.07</v>
      </c>
      <c r="D232" s="3">
        <v>1.57</v>
      </c>
      <c r="E232" s="3">
        <v>67.05</v>
      </c>
      <c r="F232" s="3">
        <v>65.72</v>
      </c>
      <c r="G232" s="3">
        <v>0</v>
      </c>
      <c r="H232" s="3">
        <v>0</v>
      </c>
      <c r="I232" s="3">
        <v>0</v>
      </c>
      <c r="J232" s="3">
        <v>9116.280000000001</v>
      </c>
      <c r="K232" s="3">
        <v>110486.49</v>
      </c>
      <c r="L232" s="3">
        <v>46155.89</v>
      </c>
      <c r="M232" s="3">
        <v>0</v>
      </c>
      <c r="N232" s="3">
        <v>44.8</v>
      </c>
      <c r="O232" s="3">
        <v>76.90000000000001</v>
      </c>
      <c r="P232" s="3">
        <v>44.8</v>
      </c>
      <c r="Q232" s="3">
        <v>0</v>
      </c>
    </row>
    <row r="233" spans="1:17">
      <c r="A233" t="s">
        <v>470</v>
      </c>
      <c r="B233" t="s">
        <v>471</v>
      </c>
      <c r="C233" s="3">
        <v>24.01</v>
      </c>
      <c r="D233" s="3">
        <v>1.64</v>
      </c>
      <c r="E233" s="3">
        <v>66.02</v>
      </c>
      <c r="F233" s="3">
        <v>50.37</v>
      </c>
      <c r="G233" s="3">
        <v>0</v>
      </c>
      <c r="H233" s="3">
        <v>0</v>
      </c>
      <c r="I233" s="3">
        <v>0</v>
      </c>
      <c r="J233" s="3">
        <v>8978.9</v>
      </c>
      <c r="K233" s="3">
        <v>107395.23</v>
      </c>
      <c r="L233" s="3">
        <v>45482.7</v>
      </c>
      <c r="M233" s="3">
        <v>0</v>
      </c>
      <c r="N233" s="3">
        <v>46.3</v>
      </c>
      <c r="O233" s="3">
        <v>77.3</v>
      </c>
      <c r="P233" s="3">
        <v>46.3</v>
      </c>
      <c r="Q233" s="3">
        <v>0</v>
      </c>
    </row>
    <row r="234" spans="1:17">
      <c r="A234" t="s">
        <v>472</v>
      </c>
      <c r="B234" t="s">
        <v>473</v>
      </c>
      <c r="C234" s="3">
        <v>23.95</v>
      </c>
      <c r="D234" s="3">
        <v>1.57</v>
      </c>
      <c r="E234" s="3">
        <v>64.98999999999999</v>
      </c>
      <c r="F234" s="3">
        <v>79.23</v>
      </c>
      <c r="G234" s="3">
        <v>0</v>
      </c>
      <c r="H234" s="3">
        <v>0</v>
      </c>
      <c r="I234" s="3">
        <v>0</v>
      </c>
      <c r="J234" s="3">
        <v>8978.9</v>
      </c>
      <c r="K234" s="3">
        <v>107395.23</v>
      </c>
      <c r="L234" s="3">
        <v>45315.79</v>
      </c>
      <c r="M234" s="3">
        <v>0</v>
      </c>
      <c r="N234" s="3">
        <v>46.3</v>
      </c>
      <c r="O234" s="3">
        <v>77.3</v>
      </c>
      <c r="P234" s="3">
        <v>46.3</v>
      </c>
      <c r="Q234" s="3">
        <v>0</v>
      </c>
    </row>
    <row r="235" spans="1:17">
      <c r="A235" t="s">
        <v>474</v>
      </c>
      <c r="B235" t="s">
        <v>475</v>
      </c>
      <c r="C235" s="3">
        <v>23.89</v>
      </c>
      <c r="D235" s="3">
        <v>1.64</v>
      </c>
      <c r="E235" s="3">
        <v>64.05</v>
      </c>
      <c r="F235" s="3">
        <v>62.28</v>
      </c>
      <c r="G235" s="3">
        <v>0</v>
      </c>
      <c r="H235" s="3">
        <v>0</v>
      </c>
      <c r="I235" s="3">
        <v>0</v>
      </c>
      <c r="J235" s="3">
        <v>8773.92</v>
      </c>
      <c r="K235" s="3">
        <v>104416.67</v>
      </c>
      <c r="L235" s="3">
        <v>43194.85</v>
      </c>
      <c r="M235" s="3">
        <v>0</v>
      </c>
      <c r="N235" s="3">
        <v>47.8</v>
      </c>
      <c r="O235" s="3">
        <v>78.40000000000001</v>
      </c>
      <c r="P235" s="3">
        <v>47.8</v>
      </c>
      <c r="Q235" s="3">
        <v>0</v>
      </c>
    </row>
    <row r="236" spans="1:17">
      <c r="A236" t="s">
        <v>476</v>
      </c>
      <c r="B236" t="s">
        <v>477</v>
      </c>
      <c r="C236" s="3">
        <v>23.82</v>
      </c>
      <c r="D236" s="3">
        <v>1.61</v>
      </c>
      <c r="E236" s="3">
        <v>63.05</v>
      </c>
      <c r="F236" s="3">
        <v>73.89</v>
      </c>
      <c r="G236" s="3">
        <v>0</v>
      </c>
      <c r="H236" s="3">
        <v>0</v>
      </c>
      <c r="I236" s="3">
        <v>0</v>
      </c>
      <c r="J236" s="3">
        <v>8773.92</v>
      </c>
      <c r="K236" s="3">
        <v>107395.23</v>
      </c>
      <c r="L236" s="3">
        <v>43676.38</v>
      </c>
      <c r="M236" s="3">
        <v>0</v>
      </c>
      <c r="N236" s="3">
        <v>46.3</v>
      </c>
      <c r="O236" s="3">
        <v>78.2</v>
      </c>
      <c r="P236" s="3">
        <v>46.3</v>
      </c>
      <c r="Q236" s="3">
        <v>0</v>
      </c>
    </row>
    <row r="237" spans="1:17">
      <c r="A237" t="s">
        <v>478</v>
      </c>
      <c r="B237" t="s">
        <v>479</v>
      </c>
      <c r="C237" s="3">
        <v>23.77</v>
      </c>
      <c r="D237" s="3">
        <v>1.72</v>
      </c>
      <c r="E237" s="3">
        <v>62.2</v>
      </c>
      <c r="F237" s="3">
        <v>46.28</v>
      </c>
      <c r="G237" s="3">
        <v>0</v>
      </c>
      <c r="H237" s="3">
        <v>0</v>
      </c>
      <c r="I237" s="3">
        <v>0</v>
      </c>
      <c r="J237" s="3">
        <v>8637.99</v>
      </c>
      <c r="K237" s="3">
        <v>103585.49</v>
      </c>
      <c r="L237" s="3">
        <v>42245.61</v>
      </c>
      <c r="M237" s="3">
        <v>0</v>
      </c>
      <c r="N237" s="3">
        <v>48.2</v>
      </c>
      <c r="O237" s="3">
        <v>78.90000000000001</v>
      </c>
      <c r="P237" s="3">
        <v>48.2</v>
      </c>
      <c r="Q237" s="3">
        <v>0</v>
      </c>
    </row>
    <row r="238" spans="1:17">
      <c r="A238" t="s">
        <v>480</v>
      </c>
      <c r="B238" t="s">
        <v>481</v>
      </c>
      <c r="C238" s="3">
        <v>23.72</v>
      </c>
      <c r="D238" s="3">
        <v>1.66</v>
      </c>
      <c r="E238" s="3">
        <v>61.29</v>
      </c>
      <c r="F238" s="3">
        <v>48.65</v>
      </c>
      <c r="G238" s="3">
        <v>0</v>
      </c>
      <c r="H238" s="3">
        <v>0</v>
      </c>
      <c r="I238" s="3">
        <v>0</v>
      </c>
      <c r="J238" s="3">
        <v>8570.23</v>
      </c>
      <c r="K238" s="3">
        <v>104416.67</v>
      </c>
      <c r="L238" s="3">
        <v>42245.61</v>
      </c>
      <c r="M238" s="3">
        <v>0</v>
      </c>
      <c r="N238" s="3">
        <v>47.8</v>
      </c>
      <c r="O238" s="3">
        <v>78.90000000000001</v>
      </c>
      <c r="P238" s="3">
        <v>47.8</v>
      </c>
      <c r="Q238" s="3">
        <v>0</v>
      </c>
    </row>
    <row r="239" spans="1:17">
      <c r="A239" t="s">
        <v>482</v>
      </c>
      <c r="B239" t="s">
        <v>483</v>
      </c>
      <c r="C239" s="3">
        <v>23.67</v>
      </c>
      <c r="D239" s="3">
        <v>1.69</v>
      </c>
      <c r="E239" s="3">
        <v>60.37</v>
      </c>
      <c r="F239" s="3">
        <v>49.72</v>
      </c>
      <c r="G239" s="3">
        <v>0</v>
      </c>
      <c r="H239" s="3">
        <v>1</v>
      </c>
      <c r="I239" s="3">
        <v>1</v>
      </c>
      <c r="J239" s="3">
        <v>8435.15</v>
      </c>
      <c r="K239" s="3">
        <v>101544.76</v>
      </c>
      <c r="L239" s="3">
        <v>40551.72</v>
      </c>
      <c r="M239" s="3">
        <v>0</v>
      </c>
      <c r="N239" s="3">
        <v>49.2</v>
      </c>
      <c r="O239" s="3">
        <v>79.7</v>
      </c>
      <c r="P239" s="3">
        <v>49.2</v>
      </c>
      <c r="Q239" s="3">
        <v>0</v>
      </c>
    </row>
    <row r="240" spans="1:17">
      <c r="A240" t="s">
        <v>484</v>
      </c>
      <c r="B240" t="s">
        <v>485</v>
      </c>
      <c r="C240" s="3">
        <v>23.61</v>
      </c>
      <c r="D240" s="3">
        <v>1.64</v>
      </c>
      <c r="E240" s="3">
        <v>59.5</v>
      </c>
      <c r="F240" s="3">
        <v>81.66</v>
      </c>
      <c r="G240" s="3">
        <v>0</v>
      </c>
      <c r="H240" s="3">
        <v>1</v>
      </c>
      <c r="I240" s="3">
        <v>1</v>
      </c>
      <c r="J240" s="3">
        <v>8435.15</v>
      </c>
      <c r="K240" s="3">
        <v>102354.76</v>
      </c>
      <c r="L240" s="3">
        <v>41160.88</v>
      </c>
      <c r="M240" s="3">
        <v>0</v>
      </c>
      <c r="N240" s="3">
        <v>48.8</v>
      </c>
      <c r="O240" s="3">
        <v>79.40000000000001</v>
      </c>
      <c r="P240" s="3">
        <v>48.8</v>
      </c>
      <c r="Q240" s="3">
        <v>0</v>
      </c>
    </row>
    <row r="241" spans="1:17">
      <c r="A241" t="s">
        <v>486</v>
      </c>
      <c r="B241" t="s">
        <v>487</v>
      </c>
      <c r="C241" s="3">
        <v>23.57</v>
      </c>
      <c r="D241" s="3">
        <v>1.72</v>
      </c>
      <c r="E241" s="3">
        <v>58.6</v>
      </c>
      <c r="F241" s="3">
        <v>56.77</v>
      </c>
      <c r="G241" s="3">
        <v>0</v>
      </c>
      <c r="H241" s="3">
        <v>1</v>
      </c>
      <c r="I241" s="3">
        <v>1</v>
      </c>
      <c r="J241" s="3">
        <v>8367.82</v>
      </c>
      <c r="K241" s="3">
        <v>100345.18</v>
      </c>
      <c r="L241" s="3">
        <v>39652.17</v>
      </c>
      <c r="M241" s="3">
        <v>0</v>
      </c>
      <c r="N241" s="3">
        <v>49.8</v>
      </c>
      <c r="O241" s="3">
        <v>80.2</v>
      </c>
      <c r="P241" s="3">
        <v>49.8</v>
      </c>
      <c r="Q241" s="3">
        <v>0</v>
      </c>
    </row>
    <row r="242" spans="1:17">
      <c r="A242" t="s">
        <v>488</v>
      </c>
      <c r="B242" t="s">
        <v>489</v>
      </c>
      <c r="C242" s="3">
        <v>23.51</v>
      </c>
      <c r="D242" s="3">
        <v>1.6</v>
      </c>
      <c r="E242" s="3">
        <v>57.78</v>
      </c>
      <c r="F242" s="3">
        <v>47.94</v>
      </c>
      <c r="G242" s="3">
        <v>0</v>
      </c>
      <c r="H242" s="3">
        <v>1</v>
      </c>
      <c r="I242" s="3">
        <v>1</v>
      </c>
      <c r="J242" s="3">
        <v>8233.58</v>
      </c>
      <c r="K242" s="3">
        <v>104000</v>
      </c>
      <c r="L242" s="3">
        <v>39652.17</v>
      </c>
      <c r="M242" s="3">
        <v>0</v>
      </c>
      <c r="N242" s="3">
        <v>48</v>
      </c>
      <c r="O242" s="3">
        <v>80.2</v>
      </c>
      <c r="P242" s="3">
        <v>48</v>
      </c>
      <c r="Q242" s="3">
        <v>0</v>
      </c>
    </row>
    <row r="243" spans="1:17">
      <c r="A243" t="s">
        <v>490</v>
      </c>
      <c r="B243" t="s">
        <v>491</v>
      </c>
      <c r="C243" s="3">
        <v>23.47</v>
      </c>
      <c r="D243" s="3">
        <v>1.62</v>
      </c>
      <c r="E243" s="3">
        <v>56.9</v>
      </c>
      <c r="F243" s="3">
        <v>49.84</v>
      </c>
      <c r="G243" s="3">
        <v>0</v>
      </c>
      <c r="H243" s="3">
        <v>1</v>
      </c>
      <c r="I243" s="3">
        <v>1</v>
      </c>
      <c r="J243" s="3">
        <v>8367.82</v>
      </c>
      <c r="K243" s="3">
        <v>105256.54</v>
      </c>
      <c r="L243" s="3">
        <v>41468.35</v>
      </c>
      <c r="M243" s="3">
        <v>0</v>
      </c>
      <c r="N243" s="3">
        <v>47.4</v>
      </c>
      <c r="O243" s="3">
        <v>79.3</v>
      </c>
      <c r="P243" s="3">
        <v>47.4</v>
      </c>
      <c r="Q243" s="3">
        <v>0</v>
      </c>
    </row>
    <row r="244" spans="1:17">
      <c r="A244" t="s">
        <v>492</v>
      </c>
      <c r="B244" t="s">
        <v>493</v>
      </c>
      <c r="C244" s="3">
        <v>23.43</v>
      </c>
      <c r="D244" s="3">
        <v>1.73</v>
      </c>
      <c r="E244" s="3">
        <v>56.05</v>
      </c>
      <c r="F244" s="3">
        <v>84.92</v>
      </c>
      <c r="G244" s="3">
        <v>0</v>
      </c>
      <c r="H244" s="3">
        <v>1</v>
      </c>
      <c r="I244" s="3">
        <v>1</v>
      </c>
      <c r="J244" s="3">
        <v>8166.67</v>
      </c>
      <c r="K244" s="3">
        <v>100743</v>
      </c>
      <c r="L244" s="3">
        <v>39208.66</v>
      </c>
      <c r="M244" s="3">
        <v>0</v>
      </c>
      <c r="N244" s="3">
        <v>49.6</v>
      </c>
      <c r="O244" s="3">
        <v>80.40000000000001</v>
      </c>
      <c r="P244" s="3">
        <v>49.6</v>
      </c>
      <c r="Q244" s="3">
        <v>0</v>
      </c>
    </row>
    <row r="245" spans="1:17">
      <c r="A245" t="s">
        <v>494</v>
      </c>
      <c r="B245" t="s">
        <v>495</v>
      </c>
      <c r="C245" s="3">
        <v>23.4</v>
      </c>
      <c r="D245" s="3">
        <v>1.57</v>
      </c>
      <c r="E245" s="3">
        <v>55.22</v>
      </c>
      <c r="F245" s="3">
        <v>102.04</v>
      </c>
      <c r="G245" s="3">
        <v>1</v>
      </c>
      <c r="H245" s="3">
        <v>1</v>
      </c>
      <c r="I245" s="3">
        <v>1</v>
      </c>
      <c r="J245" s="3">
        <v>8033.26</v>
      </c>
      <c r="K245" s="3">
        <v>99949.37</v>
      </c>
      <c r="L245" s="3">
        <v>38189.6</v>
      </c>
      <c r="M245" s="3">
        <v>0</v>
      </c>
      <c r="N245" s="3">
        <v>50</v>
      </c>
      <c r="O245" s="3">
        <v>80.90000000000001</v>
      </c>
      <c r="P245" s="3">
        <v>50</v>
      </c>
      <c r="Q245" s="3">
        <v>0</v>
      </c>
    </row>
    <row r="246" spans="1:17">
      <c r="A246" t="s">
        <v>496</v>
      </c>
      <c r="B246" t="s">
        <v>497</v>
      </c>
      <c r="C246" s="3">
        <v>23.35</v>
      </c>
      <c r="D246" s="3">
        <v>1.75</v>
      </c>
      <c r="E246" s="3">
        <v>54.36</v>
      </c>
      <c r="F246" s="3">
        <v>25.72</v>
      </c>
      <c r="G246" s="3">
        <v>1</v>
      </c>
      <c r="H246" s="3">
        <v>1</v>
      </c>
      <c r="I246" s="3">
        <v>1</v>
      </c>
      <c r="J246" s="3">
        <v>7966.77</v>
      </c>
      <c r="K246" s="3">
        <v>98773.87</v>
      </c>
      <c r="L246" s="3">
        <v>37192.13</v>
      </c>
      <c r="M246" s="3">
        <v>0</v>
      </c>
      <c r="N246" s="3">
        <v>50.6</v>
      </c>
      <c r="O246" s="3">
        <v>81.40000000000001</v>
      </c>
      <c r="P246" s="3">
        <v>50.6</v>
      </c>
      <c r="Q246" s="3">
        <v>0</v>
      </c>
    </row>
    <row r="247" spans="1:17">
      <c r="A247" t="s">
        <v>498</v>
      </c>
      <c r="B247" t="s">
        <v>499</v>
      </c>
      <c r="C247" s="3">
        <v>23.3</v>
      </c>
      <c r="D247" s="3">
        <v>1.74</v>
      </c>
      <c r="E247" s="3">
        <v>53.53</v>
      </c>
      <c r="F247" s="3">
        <v>47.58</v>
      </c>
      <c r="G247" s="3">
        <v>1</v>
      </c>
      <c r="H247" s="3">
        <v>1</v>
      </c>
      <c r="I247" s="3">
        <v>1</v>
      </c>
      <c r="J247" s="3">
        <v>7900.41</v>
      </c>
      <c r="K247" s="3">
        <v>98385.96000000001</v>
      </c>
      <c r="L247" s="3">
        <v>36771.08</v>
      </c>
      <c r="M247" s="3">
        <v>0</v>
      </c>
      <c r="N247" s="3">
        <v>50.8</v>
      </c>
      <c r="O247" s="3">
        <v>81.59999999999999</v>
      </c>
      <c r="P247" s="3">
        <v>50.8</v>
      </c>
      <c r="Q247" s="3">
        <v>0</v>
      </c>
    </row>
    <row r="248" spans="1:17">
      <c r="A248" t="s">
        <v>500</v>
      </c>
      <c r="B248" t="s">
        <v>501</v>
      </c>
      <c r="C248" s="3">
        <v>23.27</v>
      </c>
      <c r="D248" s="3">
        <v>1.62</v>
      </c>
      <c r="E248" s="3">
        <v>52.73</v>
      </c>
      <c r="F248" s="3">
        <v>94.28</v>
      </c>
      <c r="G248" s="3">
        <v>1</v>
      </c>
      <c r="H248" s="3">
        <v>1</v>
      </c>
      <c r="I248" s="3">
        <v>1</v>
      </c>
      <c r="J248" s="3">
        <v>7768.12</v>
      </c>
      <c r="K248" s="3">
        <v>97233.83</v>
      </c>
      <c r="L248" s="3">
        <v>36353.82</v>
      </c>
      <c r="M248" s="3">
        <v>0</v>
      </c>
      <c r="N248" s="3">
        <v>51.4</v>
      </c>
      <c r="O248" s="3">
        <v>81.8</v>
      </c>
      <c r="P248" s="3">
        <v>51.4</v>
      </c>
      <c r="Q248" s="3">
        <v>0</v>
      </c>
    </row>
    <row r="249" spans="1:17">
      <c r="A249" t="s">
        <v>502</v>
      </c>
      <c r="B249" t="s">
        <v>503</v>
      </c>
      <c r="C249" s="3">
        <v>23.23</v>
      </c>
      <c r="D249" s="3">
        <v>1.79</v>
      </c>
      <c r="E249" s="3">
        <v>51.93</v>
      </c>
      <c r="F249" s="3">
        <v>88.70999999999999</v>
      </c>
      <c r="G249" s="3">
        <v>1</v>
      </c>
      <c r="H249" s="3">
        <v>1</v>
      </c>
      <c r="I249" s="3">
        <v>1</v>
      </c>
      <c r="J249" s="3">
        <v>7702.17</v>
      </c>
      <c r="K249" s="3">
        <v>96475.25</v>
      </c>
      <c r="L249" s="3">
        <v>35530.46</v>
      </c>
      <c r="M249" s="3">
        <v>0</v>
      </c>
      <c r="N249" s="3">
        <v>51.8</v>
      </c>
      <c r="O249" s="3">
        <v>82.2</v>
      </c>
      <c r="P249" s="3">
        <v>51.8</v>
      </c>
      <c r="Q249" s="3">
        <v>0</v>
      </c>
    </row>
    <row r="250" spans="1:17">
      <c r="A250" t="s">
        <v>504</v>
      </c>
      <c r="B250" t="s">
        <v>505</v>
      </c>
      <c r="C250" s="3">
        <v>23.18</v>
      </c>
      <c r="D250" s="3">
        <v>1.65</v>
      </c>
      <c r="E250" s="3">
        <v>51.19</v>
      </c>
      <c r="F250" s="3">
        <v>51.02</v>
      </c>
      <c r="G250" s="3">
        <v>1</v>
      </c>
      <c r="H250" s="3">
        <v>1</v>
      </c>
      <c r="I250" s="3">
        <v>1</v>
      </c>
      <c r="J250" s="3">
        <v>7768.12</v>
      </c>
      <c r="K250" s="3">
        <v>98385.96000000001</v>
      </c>
      <c r="L250" s="3">
        <v>36492.49</v>
      </c>
      <c r="M250" s="3">
        <v>0</v>
      </c>
      <c r="N250" s="3">
        <v>50.8</v>
      </c>
      <c r="O250" s="3">
        <v>81.8</v>
      </c>
      <c r="P250" s="3">
        <v>50.8</v>
      </c>
      <c r="Q250" s="3">
        <v>0</v>
      </c>
    </row>
    <row r="251" spans="1:17">
      <c r="A251" t="s">
        <v>506</v>
      </c>
      <c r="B251" t="s">
        <v>507</v>
      </c>
      <c r="C251" s="3">
        <v>23.14</v>
      </c>
      <c r="D251" s="3">
        <v>1.83</v>
      </c>
      <c r="E251" s="3">
        <v>50.39</v>
      </c>
      <c r="F251" s="3">
        <v>52.56</v>
      </c>
      <c r="G251" s="3">
        <v>1</v>
      </c>
      <c r="H251" s="3">
        <v>1</v>
      </c>
      <c r="I251" s="3">
        <v>1</v>
      </c>
      <c r="J251" s="3">
        <v>7702.17</v>
      </c>
      <c r="K251" s="3">
        <v>96853.60000000001</v>
      </c>
      <c r="L251" s="3">
        <v>35940.3</v>
      </c>
      <c r="M251" s="3">
        <v>0</v>
      </c>
      <c r="N251" s="3">
        <v>51.6</v>
      </c>
      <c r="O251" s="3">
        <v>82</v>
      </c>
      <c r="P251" s="3">
        <v>51.6</v>
      </c>
      <c r="Q251" s="3">
        <v>0</v>
      </c>
    </row>
    <row r="252" spans="1:17">
      <c r="A252" t="s">
        <v>508</v>
      </c>
      <c r="B252" t="s">
        <v>509</v>
      </c>
      <c r="C252" s="3">
        <v>23.1</v>
      </c>
      <c r="D252" s="3">
        <v>1.82</v>
      </c>
      <c r="E252" s="3">
        <v>49.61</v>
      </c>
      <c r="F252" s="3">
        <v>116.14</v>
      </c>
      <c r="G252" s="3">
        <v>1</v>
      </c>
      <c r="H252" s="3">
        <v>1</v>
      </c>
      <c r="I252" s="3">
        <v>1</v>
      </c>
      <c r="J252" s="3">
        <v>7570.69</v>
      </c>
      <c r="K252" s="3">
        <v>96098.77</v>
      </c>
      <c r="L252" s="3">
        <v>35124.26</v>
      </c>
      <c r="M252" s="3">
        <v>0</v>
      </c>
      <c r="N252" s="3">
        <v>52</v>
      </c>
      <c r="O252" s="3">
        <v>82.40000000000001</v>
      </c>
      <c r="P252" s="3">
        <v>52</v>
      </c>
      <c r="Q252" s="3">
        <v>0</v>
      </c>
    </row>
    <row r="253" spans="1:17">
      <c r="A253" t="s">
        <v>510</v>
      </c>
      <c r="B253" t="s">
        <v>511</v>
      </c>
      <c r="C253" s="3">
        <v>23.07</v>
      </c>
      <c r="D253" s="3">
        <v>1.71</v>
      </c>
      <c r="E253" s="3">
        <v>48.87</v>
      </c>
      <c r="F253" s="3">
        <v>51.85</v>
      </c>
      <c r="G253" s="3">
        <v>1</v>
      </c>
      <c r="H253" s="3">
        <v>1</v>
      </c>
      <c r="I253" s="3">
        <v>1</v>
      </c>
      <c r="J253" s="3">
        <v>7505.15</v>
      </c>
      <c r="K253" s="3">
        <v>96098.77</v>
      </c>
      <c r="L253" s="3">
        <v>34989.66</v>
      </c>
      <c r="M253" s="3">
        <v>0</v>
      </c>
      <c r="N253" s="3">
        <v>52</v>
      </c>
      <c r="O253" s="3">
        <v>82.5</v>
      </c>
      <c r="P253" s="3">
        <v>52</v>
      </c>
      <c r="Q253" s="3">
        <v>0</v>
      </c>
    </row>
    <row r="254" spans="1:17">
      <c r="A254" t="s">
        <v>512</v>
      </c>
      <c r="B254" t="s">
        <v>513</v>
      </c>
      <c r="C254" s="3">
        <v>23.03</v>
      </c>
      <c r="D254" s="3">
        <v>1.68</v>
      </c>
      <c r="E254" s="3">
        <v>48.17</v>
      </c>
      <c r="F254" s="3">
        <v>48.29</v>
      </c>
      <c r="G254" s="3">
        <v>0</v>
      </c>
      <c r="H254" s="3">
        <v>1</v>
      </c>
      <c r="I254" s="3">
        <v>1</v>
      </c>
      <c r="J254" s="3">
        <v>7439.75</v>
      </c>
      <c r="K254" s="3">
        <v>96853.60000000001</v>
      </c>
      <c r="L254" s="3">
        <v>34721.65</v>
      </c>
      <c r="M254" s="3">
        <v>0</v>
      </c>
      <c r="N254" s="3">
        <v>51.6</v>
      </c>
      <c r="O254" s="3">
        <v>82.59999999999999</v>
      </c>
      <c r="P254" s="3">
        <v>51.6</v>
      </c>
      <c r="Q254" s="3">
        <v>0</v>
      </c>
    </row>
    <row r="255" spans="1:17">
      <c r="A255" t="s">
        <v>514</v>
      </c>
      <c r="B255" t="s">
        <v>515</v>
      </c>
      <c r="C255" s="3">
        <v>22.98</v>
      </c>
      <c r="D255" s="3">
        <v>1.67</v>
      </c>
      <c r="E255" s="3">
        <v>47.49</v>
      </c>
      <c r="F255" s="3">
        <v>92.97</v>
      </c>
      <c r="G255" s="3">
        <v>0</v>
      </c>
      <c r="H255" s="3">
        <v>1</v>
      </c>
      <c r="I255" s="3">
        <v>1</v>
      </c>
      <c r="J255" s="3">
        <v>7439.75</v>
      </c>
      <c r="K255" s="3">
        <v>98385.96000000001</v>
      </c>
      <c r="L255" s="3">
        <v>34588.24</v>
      </c>
      <c r="M255" s="3">
        <v>0</v>
      </c>
      <c r="N255" s="3">
        <v>50.8</v>
      </c>
      <c r="O255" s="3">
        <v>82.7</v>
      </c>
      <c r="P255" s="3">
        <v>50.8</v>
      </c>
      <c r="Q255" s="3">
        <v>0</v>
      </c>
    </row>
    <row r="256" spans="1:17">
      <c r="A256" t="s">
        <v>516</v>
      </c>
      <c r="B256" t="s">
        <v>517</v>
      </c>
      <c r="C256" s="3">
        <v>22.93</v>
      </c>
      <c r="D256" s="3">
        <v>1.79</v>
      </c>
      <c r="E256" s="3">
        <v>46.78</v>
      </c>
      <c r="F256" s="3">
        <v>54.64</v>
      </c>
      <c r="G256" s="3">
        <v>0</v>
      </c>
      <c r="H256" s="3">
        <v>1</v>
      </c>
      <c r="I256" s="3">
        <v>1</v>
      </c>
      <c r="J256" s="3">
        <v>7309.35</v>
      </c>
      <c r="K256" s="3">
        <v>95351.35000000001</v>
      </c>
      <c r="L256" s="3">
        <v>33795.92</v>
      </c>
      <c r="M256" s="3">
        <v>0</v>
      </c>
      <c r="N256" s="3">
        <v>52.3</v>
      </c>
      <c r="O256" s="3">
        <v>83.09999999999999</v>
      </c>
      <c r="P256" s="3">
        <v>52.3</v>
      </c>
      <c r="Q256" s="3">
        <v>0</v>
      </c>
    </row>
    <row r="257" spans="1:17">
      <c r="A257" t="s">
        <v>518</v>
      </c>
      <c r="B257" t="s">
        <v>519</v>
      </c>
      <c r="C257" s="3">
        <v>22.9</v>
      </c>
      <c r="D257" s="3">
        <v>1.84</v>
      </c>
      <c r="E257" s="3">
        <v>46.07</v>
      </c>
      <c r="F257" s="3">
        <v>54.46</v>
      </c>
      <c r="G257" s="3">
        <v>0</v>
      </c>
      <c r="H257" s="3">
        <v>1</v>
      </c>
      <c r="I257" s="3">
        <v>1</v>
      </c>
      <c r="J257" s="3">
        <v>7179.49</v>
      </c>
      <c r="K257" s="3">
        <v>93152.53999999999</v>
      </c>
      <c r="L257" s="3">
        <v>32633.09</v>
      </c>
      <c r="M257" s="3">
        <v>0</v>
      </c>
      <c r="N257" s="3">
        <v>53.4</v>
      </c>
      <c r="O257" s="3">
        <v>83.7</v>
      </c>
      <c r="P257" s="3">
        <v>53.4</v>
      </c>
      <c r="Q257" s="3">
        <v>0</v>
      </c>
    </row>
    <row r="258" spans="1:17">
      <c r="A258" t="s">
        <v>520</v>
      </c>
      <c r="B258" t="s">
        <v>521</v>
      </c>
      <c r="C258" s="3">
        <v>22.88</v>
      </c>
      <c r="D258" s="3">
        <v>1.84</v>
      </c>
      <c r="E258" s="3">
        <v>45.39</v>
      </c>
      <c r="F258" s="3">
        <v>48.06</v>
      </c>
      <c r="G258" s="3">
        <v>0</v>
      </c>
      <c r="H258" s="3">
        <v>1</v>
      </c>
      <c r="I258" s="3">
        <v>1</v>
      </c>
      <c r="J258" s="3">
        <v>7114.75</v>
      </c>
      <c r="K258" s="3">
        <v>92433.73</v>
      </c>
      <c r="L258" s="3">
        <v>31874.47</v>
      </c>
      <c r="M258" s="3">
        <v>0</v>
      </c>
      <c r="N258" s="3">
        <v>53.8</v>
      </c>
      <c r="O258" s="3">
        <v>84.09999999999999</v>
      </c>
      <c r="P258" s="3">
        <v>53.8</v>
      </c>
      <c r="Q258" s="3">
        <v>0</v>
      </c>
    </row>
    <row r="259" spans="1:17">
      <c r="A259" t="s">
        <v>522</v>
      </c>
      <c r="B259" t="s">
        <v>523</v>
      </c>
      <c r="C259" s="3">
        <v>22.86</v>
      </c>
      <c r="D259" s="3">
        <v>1.83</v>
      </c>
      <c r="E259" s="3">
        <v>44.73</v>
      </c>
      <c r="F259" s="3">
        <v>57.48</v>
      </c>
      <c r="G259" s="3">
        <v>0</v>
      </c>
      <c r="H259" s="3">
        <v>1</v>
      </c>
      <c r="I259" s="3">
        <v>1</v>
      </c>
      <c r="J259" s="3">
        <v>7050.15</v>
      </c>
      <c r="K259" s="3">
        <v>92433.73</v>
      </c>
      <c r="L259" s="3">
        <v>31500</v>
      </c>
      <c r="M259" s="3">
        <v>0</v>
      </c>
      <c r="N259" s="3">
        <v>53.8</v>
      </c>
      <c r="O259" s="3">
        <v>84.2</v>
      </c>
      <c r="P259" s="3">
        <v>53.8</v>
      </c>
      <c r="Q259" s="3">
        <v>0</v>
      </c>
    </row>
    <row r="260" spans="1:17">
      <c r="A260" t="s">
        <v>524</v>
      </c>
      <c r="B260" t="s">
        <v>525</v>
      </c>
      <c r="C260" s="3">
        <v>22.84</v>
      </c>
      <c r="D260" s="3">
        <v>1.79</v>
      </c>
      <c r="E260" s="3">
        <v>44.05</v>
      </c>
      <c r="F260" s="3">
        <v>55.29</v>
      </c>
      <c r="G260" s="3">
        <v>0</v>
      </c>
      <c r="H260" s="3">
        <v>0</v>
      </c>
      <c r="I260" s="3">
        <v>0</v>
      </c>
      <c r="J260" s="3">
        <v>7050.15</v>
      </c>
      <c r="K260" s="3">
        <v>93152.53999999999</v>
      </c>
      <c r="L260" s="3">
        <v>31500</v>
      </c>
      <c r="M260" s="3">
        <v>0</v>
      </c>
      <c r="N260" s="3">
        <v>53.4</v>
      </c>
      <c r="O260" s="3">
        <v>84.2</v>
      </c>
      <c r="P260" s="3">
        <v>53.4</v>
      </c>
      <c r="Q260" s="3">
        <v>0</v>
      </c>
    </row>
    <row r="261" spans="1:17">
      <c r="A261" t="s">
        <v>526</v>
      </c>
      <c r="B261" t="s">
        <v>527</v>
      </c>
      <c r="C261" s="3">
        <v>22.82</v>
      </c>
      <c r="D261" s="3">
        <v>1.79</v>
      </c>
      <c r="E261" s="3">
        <v>43.46</v>
      </c>
      <c r="F261" s="3">
        <v>52.8</v>
      </c>
      <c r="G261" s="3">
        <v>0</v>
      </c>
      <c r="H261" s="3">
        <v>0</v>
      </c>
      <c r="I261" s="3">
        <v>0</v>
      </c>
      <c r="J261" s="3">
        <v>6985.69</v>
      </c>
      <c r="K261" s="3">
        <v>92792.27</v>
      </c>
      <c r="L261" s="3">
        <v>31375.89</v>
      </c>
      <c r="M261" s="3">
        <v>0</v>
      </c>
      <c r="N261" s="3">
        <v>53.6</v>
      </c>
      <c r="O261" s="3">
        <v>84.3</v>
      </c>
      <c r="P261" s="3">
        <v>53.6</v>
      </c>
      <c r="Q261" s="3">
        <v>0</v>
      </c>
    </row>
    <row r="262" spans="1:17">
      <c r="A262" t="s">
        <v>528</v>
      </c>
      <c r="B262" t="s">
        <v>529</v>
      </c>
      <c r="C262" s="3">
        <v>22.79</v>
      </c>
      <c r="D262" s="3">
        <v>1.81</v>
      </c>
      <c r="E262" s="3">
        <v>42.8</v>
      </c>
      <c r="F262" s="3">
        <v>52.98</v>
      </c>
      <c r="G262" s="3">
        <v>0</v>
      </c>
      <c r="H262" s="3">
        <v>0</v>
      </c>
      <c r="I262" s="3">
        <v>0</v>
      </c>
      <c r="J262" s="3">
        <v>6921.35</v>
      </c>
      <c r="K262" s="3">
        <v>92076.92</v>
      </c>
      <c r="L262" s="3">
        <v>30760.56</v>
      </c>
      <c r="M262" s="3">
        <v>0</v>
      </c>
      <c r="N262" s="3">
        <v>54</v>
      </c>
      <c r="O262" s="3">
        <v>84.59999999999999</v>
      </c>
      <c r="P262" s="3">
        <v>54</v>
      </c>
      <c r="Q262" s="3">
        <v>0</v>
      </c>
    </row>
    <row r="263" spans="1:17">
      <c r="A263" t="s">
        <v>530</v>
      </c>
      <c r="B263" t="s">
        <v>531</v>
      </c>
      <c r="C263" s="3">
        <v>22.78</v>
      </c>
      <c r="D263" s="3">
        <v>1.85</v>
      </c>
      <c r="E263" s="3">
        <v>42.1</v>
      </c>
      <c r="F263" s="3">
        <v>109.74</v>
      </c>
      <c r="G263" s="3">
        <v>0</v>
      </c>
      <c r="H263" s="3">
        <v>1</v>
      </c>
      <c r="I263" s="3">
        <v>1</v>
      </c>
      <c r="J263" s="3">
        <v>6857.14</v>
      </c>
      <c r="K263" s="3">
        <v>90666.67</v>
      </c>
      <c r="L263" s="3">
        <v>30033.52</v>
      </c>
      <c r="M263" s="3">
        <v>0</v>
      </c>
      <c r="N263" s="3">
        <v>54.7</v>
      </c>
      <c r="O263" s="3">
        <v>85</v>
      </c>
      <c r="P263" s="3">
        <v>54.7</v>
      </c>
      <c r="Q263" s="3">
        <v>0</v>
      </c>
    </row>
    <row r="264" spans="1:17">
      <c r="A264" t="s">
        <v>532</v>
      </c>
      <c r="B264" t="s">
        <v>533</v>
      </c>
      <c r="C264" s="3">
        <v>22.77</v>
      </c>
      <c r="D264" s="3">
        <v>1.79</v>
      </c>
      <c r="E264" s="3">
        <v>41.51</v>
      </c>
      <c r="F264" s="3">
        <v>88.17</v>
      </c>
      <c r="G264" s="3">
        <v>0</v>
      </c>
      <c r="H264" s="3">
        <v>1</v>
      </c>
      <c r="I264" s="3">
        <v>1</v>
      </c>
      <c r="J264" s="3">
        <v>6793.07</v>
      </c>
      <c r="K264" s="3">
        <v>91721.82000000001</v>
      </c>
      <c r="L264" s="3">
        <v>30033.52</v>
      </c>
      <c r="M264" s="3">
        <v>0</v>
      </c>
      <c r="N264" s="3">
        <v>54.1</v>
      </c>
      <c r="O264" s="3">
        <v>85</v>
      </c>
      <c r="P264" s="3">
        <v>54.1</v>
      </c>
      <c r="Q264" s="3">
        <v>0</v>
      </c>
    </row>
    <row r="265" spans="1:17">
      <c r="A265" t="s">
        <v>534</v>
      </c>
      <c r="B265" t="s">
        <v>535</v>
      </c>
      <c r="C265" s="3">
        <v>22.76</v>
      </c>
      <c r="D265" s="3">
        <v>1.81</v>
      </c>
      <c r="E265" s="3">
        <v>40.91</v>
      </c>
      <c r="F265" s="3">
        <v>57.84</v>
      </c>
      <c r="G265" s="3">
        <v>0</v>
      </c>
      <c r="H265" s="3">
        <v>1</v>
      </c>
      <c r="I265" s="3">
        <v>1</v>
      </c>
      <c r="J265" s="3">
        <v>6793.07</v>
      </c>
      <c r="K265" s="3">
        <v>92076.92</v>
      </c>
      <c r="L265" s="3">
        <v>29913.53</v>
      </c>
      <c r="M265" s="3">
        <v>0</v>
      </c>
      <c r="N265" s="3">
        <v>54</v>
      </c>
      <c r="O265" s="3">
        <v>85</v>
      </c>
      <c r="P265" s="3">
        <v>54</v>
      </c>
      <c r="Q265" s="3">
        <v>0</v>
      </c>
    </row>
    <row r="266" spans="1:17">
      <c r="A266" t="s">
        <v>536</v>
      </c>
      <c r="B266" t="s">
        <v>537</v>
      </c>
      <c r="C266" s="3">
        <v>22.76</v>
      </c>
      <c r="D266" s="3">
        <v>1.83</v>
      </c>
      <c r="E266" s="3">
        <v>40.32</v>
      </c>
      <c r="F266" s="3">
        <v>58.43</v>
      </c>
      <c r="G266" s="3">
        <v>0</v>
      </c>
      <c r="H266" s="3">
        <v>0</v>
      </c>
      <c r="I266" s="3">
        <v>0</v>
      </c>
      <c r="J266" s="3">
        <v>6665.31</v>
      </c>
      <c r="K266" s="3">
        <v>90318.28999999999</v>
      </c>
      <c r="L266" s="3">
        <v>29082.87</v>
      </c>
      <c r="M266" s="3">
        <v>0</v>
      </c>
      <c r="N266" s="3">
        <v>54.8</v>
      </c>
      <c r="O266" s="3">
        <v>85.5</v>
      </c>
      <c r="P266" s="3">
        <v>54.8</v>
      </c>
      <c r="Q266" s="3">
        <v>0</v>
      </c>
    </row>
    <row r="267" spans="1:17">
      <c r="A267" t="s">
        <v>538</v>
      </c>
      <c r="B267" t="s">
        <v>539</v>
      </c>
      <c r="C267" s="3">
        <v>22.74</v>
      </c>
      <c r="D267" s="3">
        <v>1.83</v>
      </c>
      <c r="E267" s="3">
        <v>39.67</v>
      </c>
      <c r="F267" s="3">
        <v>48.59</v>
      </c>
      <c r="G267" s="3">
        <v>0</v>
      </c>
      <c r="H267" s="3">
        <v>0</v>
      </c>
      <c r="I267" s="3">
        <v>0</v>
      </c>
      <c r="J267" s="3">
        <v>6601.63</v>
      </c>
      <c r="K267" s="3">
        <v>91016.71000000001</v>
      </c>
      <c r="L267" s="3">
        <v>29082.87</v>
      </c>
      <c r="M267" s="3">
        <v>0</v>
      </c>
      <c r="N267" s="3">
        <v>54.5</v>
      </c>
      <c r="O267" s="3">
        <v>85.5</v>
      </c>
      <c r="P267" s="3">
        <v>54.5</v>
      </c>
      <c r="Q267" s="3">
        <v>0</v>
      </c>
    </row>
    <row r="268" spans="1:17">
      <c r="A268" t="s">
        <v>540</v>
      </c>
      <c r="B268" t="s">
        <v>541</v>
      </c>
      <c r="C268" s="3">
        <v>22.75</v>
      </c>
      <c r="D268" s="3">
        <v>1.86</v>
      </c>
      <c r="E268" s="3">
        <v>39.09</v>
      </c>
      <c r="F268" s="3">
        <v>40.47</v>
      </c>
      <c r="G268" s="3">
        <v>0</v>
      </c>
      <c r="H268" s="3">
        <v>0</v>
      </c>
      <c r="I268" s="3">
        <v>0</v>
      </c>
      <c r="J268" s="3">
        <v>6538.07</v>
      </c>
      <c r="K268" s="3">
        <v>88600.94</v>
      </c>
      <c r="L268" s="3">
        <v>28038.2</v>
      </c>
      <c r="M268" s="3">
        <v>0</v>
      </c>
      <c r="N268" s="3">
        <v>55.7</v>
      </c>
      <c r="O268" s="3">
        <v>86</v>
      </c>
      <c r="P268" s="3">
        <v>55.7</v>
      </c>
      <c r="Q268" s="3">
        <v>0</v>
      </c>
    </row>
    <row r="269" spans="1:17">
      <c r="A269" t="s">
        <v>542</v>
      </c>
      <c r="B269" t="s">
        <v>543</v>
      </c>
      <c r="C269" s="3">
        <v>22.73</v>
      </c>
      <c r="D269" s="3">
        <v>1.89</v>
      </c>
      <c r="E269" s="3">
        <v>38.48</v>
      </c>
      <c r="F269" s="3">
        <v>47.11</v>
      </c>
      <c r="G269" s="3">
        <v>0</v>
      </c>
      <c r="H269" s="3">
        <v>0</v>
      </c>
      <c r="I269" s="3">
        <v>0</v>
      </c>
      <c r="J269" s="3">
        <v>6474.65</v>
      </c>
      <c r="K269" s="3">
        <v>87925.23</v>
      </c>
      <c r="L269" s="3">
        <v>27243.24</v>
      </c>
      <c r="M269" s="3">
        <v>0</v>
      </c>
      <c r="N269" s="3">
        <v>56</v>
      </c>
      <c r="O269" s="3">
        <v>86.40000000000001</v>
      </c>
      <c r="P269" s="3">
        <v>56</v>
      </c>
      <c r="Q269" s="3">
        <v>0</v>
      </c>
    </row>
    <row r="270" spans="1:17">
      <c r="A270" t="s">
        <v>544</v>
      </c>
      <c r="B270" t="s">
        <v>545</v>
      </c>
      <c r="C270" s="3">
        <v>22.73</v>
      </c>
      <c r="D270" s="3">
        <v>1.87</v>
      </c>
      <c r="E270" s="3">
        <v>37.96</v>
      </c>
      <c r="F270" s="3">
        <v>45.45</v>
      </c>
      <c r="G270" s="3">
        <v>0</v>
      </c>
      <c r="H270" s="3">
        <v>1</v>
      </c>
      <c r="I270" s="3">
        <v>1</v>
      </c>
      <c r="J270" s="3">
        <v>6411.35</v>
      </c>
      <c r="K270" s="3">
        <v>88262.3</v>
      </c>
      <c r="L270" s="3">
        <v>27130.9</v>
      </c>
      <c r="M270" s="3">
        <v>0</v>
      </c>
      <c r="N270" s="3">
        <v>55.9</v>
      </c>
      <c r="O270" s="3">
        <v>86.40000000000001</v>
      </c>
      <c r="P270" s="3">
        <v>55.9</v>
      </c>
      <c r="Q270" s="3">
        <v>0</v>
      </c>
    </row>
    <row r="271" spans="1:17">
      <c r="A271" t="s">
        <v>546</v>
      </c>
      <c r="B271" t="s">
        <v>547</v>
      </c>
      <c r="C271" s="3">
        <v>22.74</v>
      </c>
      <c r="D271" s="3">
        <v>1.83</v>
      </c>
      <c r="E271" s="3">
        <v>37.41</v>
      </c>
      <c r="F271" s="3">
        <v>50.66</v>
      </c>
      <c r="G271" s="3">
        <v>0</v>
      </c>
      <c r="H271" s="3">
        <v>1</v>
      </c>
      <c r="I271" s="3">
        <v>1</v>
      </c>
      <c r="J271" s="3">
        <v>6348.18</v>
      </c>
      <c r="K271" s="3">
        <v>88600.94</v>
      </c>
      <c r="L271" s="3">
        <v>27018.87</v>
      </c>
      <c r="M271" s="3">
        <v>0</v>
      </c>
      <c r="N271" s="3">
        <v>55.7</v>
      </c>
      <c r="O271" s="3">
        <v>86.5</v>
      </c>
      <c r="P271" s="3">
        <v>55.7</v>
      </c>
      <c r="Q271" s="3">
        <v>0</v>
      </c>
    </row>
    <row r="272" spans="1:17">
      <c r="A272" t="s">
        <v>548</v>
      </c>
      <c r="B272" t="s">
        <v>549</v>
      </c>
      <c r="C272" s="3">
        <v>22.74</v>
      </c>
      <c r="D272" s="3">
        <v>1.89</v>
      </c>
      <c r="E272" s="3">
        <v>36.89</v>
      </c>
      <c r="F272" s="3">
        <v>63.94</v>
      </c>
      <c r="G272" s="3">
        <v>0</v>
      </c>
      <c r="H272" s="3">
        <v>1</v>
      </c>
      <c r="I272" s="3">
        <v>1</v>
      </c>
      <c r="J272" s="3">
        <v>6285.14</v>
      </c>
      <c r="K272" s="3">
        <v>86923.42999999999</v>
      </c>
      <c r="L272" s="3">
        <v>26242.99</v>
      </c>
      <c r="M272" s="3">
        <v>0</v>
      </c>
      <c r="N272" s="3">
        <v>56.5</v>
      </c>
      <c r="O272" s="3">
        <v>86.90000000000001</v>
      </c>
      <c r="P272" s="3">
        <v>56.5</v>
      </c>
      <c r="Q272" s="3">
        <v>0</v>
      </c>
    </row>
    <row r="273" spans="1:17">
      <c r="A273" t="s">
        <v>550</v>
      </c>
      <c r="B273" t="s">
        <v>551</v>
      </c>
      <c r="C273" s="3">
        <v>22.74</v>
      </c>
      <c r="D273" s="3">
        <v>1.83</v>
      </c>
      <c r="E273" s="3">
        <v>36.33</v>
      </c>
      <c r="F273" s="3">
        <v>62.04</v>
      </c>
      <c r="G273" s="3">
        <v>0</v>
      </c>
      <c r="H273" s="3">
        <v>1</v>
      </c>
      <c r="I273" s="3">
        <v>1</v>
      </c>
      <c r="J273" s="3">
        <v>6222.22</v>
      </c>
      <c r="K273" s="3">
        <v>87589.74000000001</v>
      </c>
      <c r="L273" s="3">
        <v>25914.89</v>
      </c>
      <c r="M273" s="3">
        <v>0</v>
      </c>
      <c r="N273" s="3">
        <v>56.2</v>
      </c>
      <c r="O273" s="3">
        <v>87</v>
      </c>
      <c r="P273" s="3">
        <v>56.2</v>
      </c>
      <c r="Q273" s="3">
        <v>0</v>
      </c>
    </row>
    <row r="274" spans="1:17">
      <c r="A274" t="s">
        <v>552</v>
      </c>
      <c r="B274" t="s">
        <v>553</v>
      </c>
      <c r="C274" s="3">
        <v>22.74</v>
      </c>
      <c r="D274" s="3">
        <v>1.88</v>
      </c>
      <c r="E274" s="3">
        <v>35.79</v>
      </c>
      <c r="F274" s="3">
        <v>72.23</v>
      </c>
      <c r="G274" s="3">
        <v>0</v>
      </c>
      <c r="H274" s="3">
        <v>1</v>
      </c>
      <c r="I274" s="3">
        <v>1</v>
      </c>
      <c r="J274" s="3">
        <v>6159.43</v>
      </c>
      <c r="K274" s="3">
        <v>85609.2</v>
      </c>
      <c r="L274" s="3">
        <v>25373.84</v>
      </c>
      <c r="M274" s="3">
        <v>0</v>
      </c>
      <c r="N274" s="3">
        <v>57.2</v>
      </c>
      <c r="O274" s="3">
        <v>87.3</v>
      </c>
      <c r="P274" s="3">
        <v>57.2</v>
      </c>
      <c r="Q274" s="3">
        <v>0</v>
      </c>
    </row>
    <row r="275" spans="1:17">
      <c r="A275" t="s">
        <v>554</v>
      </c>
      <c r="B275" t="s">
        <v>555</v>
      </c>
      <c r="C275" s="3">
        <v>22.74</v>
      </c>
      <c r="D275" s="3">
        <v>1.89</v>
      </c>
      <c r="E275" s="3">
        <v>35.3</v>
      </c>
      <c r="F275" s="3">
        <v>46.69</v>
      </c>
      <c r="G275" s="3">
        <v>0</v>
      </c>
      <c r="H275" s="3">
        <v>1</v>
      </c>
      <c r="I275" s="3">
        <v>1</v>
      </c>
      <c r="J275" s="3">
        <v>6096.77</v>
      </c>
      <c r="K275" s="3">
        <v>84961.10000000001</v>
      </c>
      <c r="L275" s="3">
        <v>24733.94</v>
      </c>
      <c r="M275" s="3">
        <v>0</v>
      </c>
      <c r="N275" s="3">
        <v>57.5</v>
      </c>
      <c r="O275" s="3">
        <v>87.59999999999999</v>
      </c>
      <c r="P275" s="3">
        <v>57.5</v>
      </c>
      <c r="Q275" s="3">
        <v>0</v>
      </c>
    </row>
    <row r="276" spans="1:17">
      <c r="A276" t="s">
        <v>556</v>
      </c>
      <c r="B276" t="s">
        <v>557</v>
      </c>
      <c r="C276" s="3">
        <v>22.75</v>
      </c>
      <c r="D276" s="3">
        <v>1.89</v>
      </c>
      <c r="E276" s="3">
        <v>34.76</v>
      </c>
      <c r="F276" s="3">
        <v>73.72</v>
      </c>
      <c r="G276" s="3">
        <v>0</v>
      </c>
      <c r="H276" s="3">
        <v>1</v>
      </c>
      <c r="I276" s="3">
        <v>1</v>
      </c>
      <c r="J276" s="3">
        <v>6034.24</v>
      </c>
      <c r="K276" s="3">
        <v>84961.10000000001</v>
      </c>
      <c r="L276" s="3">
        <v>24522.88</v>
      </c>
      <c r="M276" s="3">
        <v>0</v>
      </c>
      <c r="N276" s="3">
        <v>57.5</v>
      </c>
      <c r="O276" s="3">
        <v>87.7</v>
      </c>
      <c r="P276" s="3">
        <v>57.5</v>
      </c>
      <c r="Q276" s="3">
        <v>0</v>
      </c>
    </row>
    <row r="277" spans="1:17">
      <c r="A277" t="s">
        <v>558</v>
      </c>
      <c r="B277" t="s">
        <v>559</v>
      </c>
      <c r="C277" s="3">
        <v>22.75</v>
      </c>
      <c r="D277" s="3">
        <v>1.89</v>
      </c>
      <c r="E277" s="3">
        <v>34.28</v>
      </c>
      <c r="F277" s="3">
        <v>91.73</v>
      </c>
      <c r="G277" s="3">
        <v>0</v>
      </c>
      <c r="H277" s="3">
        <v>1</v>
      </c>
      <c r="I277" s="3">
        <v>1</v>
      </c>
      <c r="J277" s="3">
        <v>6034.24</v>
      </c>
      <c r="K277" s="3">
        <v>84961.10000000001</v>
      </c>
      <c r="L277" s="3">
        <v>24208.33</v>
      </c>
      <c r="M277" s="3">
        <v>0</v>
      </c>
      <c r="N277" s="3">
        <v>57.5</v>
      </c>
      <c r="O277" s="3">
        <v>87.90000000000001</v>
      </c>
      <c r="P277" s="3">
        <v>57.5</v>
      </c>
      <c r="Q277" s="3">
        <v>0</v>
      </c>
    </row>
    <row r="278" spans="1:17">
      <c r="A278" t="s">
        <v>560</v>
      </c>
      <c r="B278" t="s">
        <v>561</v>
      </c>
      <c r="C278" s="3">
        <v>22.77</v>
      </c>
      <c r="D278" s="3">
        <v>1.88</v>
      </c>
      <c r="E278" s="3">
        <v>33.74</v>
      </c>
      <c r="F278" s="3">
        <v>51.91</v>
      </c>
      <c r="G278" s="3">
        <v>0</v>
      </c>
      <c r="H278" s="3">
        <v>1</v>
      </c>
      <c r="I278" s="3">
        <v>1</v>
      </c>
      <c r="J278" s="3">
        <v>5971.83</v>
      </c>
      <c r="K278" s="3">
        <v>84318.91</v>
      </c>
      <c r="L278" s="3">
        <v>24000</v>
      </c>
      <c r="M278" s="3">
        <v>0</v>
      </c>
      <c r="N278" s="3">
        <v>57.8</v>
      </c>
      <c r="O278" s="3">
        <v>88</v>
      </c>
      <c r="P278" s="3">
        <v>57.8</v>
      </c>
      <c r="Q278" s="3">
        <v>0</v>
      </c>
    </row>
    <row r="279" spans="1:17">
      <c r="A279" t="s">
        <v>562</v>
      </c>
      <c r="B279" t="s">
        <v>563</v>
      </c>
      <c r="C279" s="3">
        <v>22.77</v>
      </c>
      <c r="D279" s="3">
        <v>1.88</v>
      </c>
      <c r="E279" s="3">
        <v>33.21</v>
      </c>
      <c r="F279" s="3">
        <v>48.12</v>
      </c>
      <c r="G279" s="3">
        <v>0</v>
      </c>
      <c r="H279" s="3">
        <v>1</v>
      </c>
      <c r="I279" s="3">
        <v>1</v>
      </c>
      <c r="J279" s="3">
        <v>5909.55</v>
      </c>
      <c r="K279" s="3">
        <v>83366.52</v>
      </c>
      <c r="L279" s="3">
        <v>23381.44</v>
      </c>
      <c r="M279" s="3">
        <v>0</v>
      </c>
      <c r="N279" s="3">
        <v>58.3</v>
      </c>
      <c r="O279" s="3">
        <v>88.3</v>
      </c>
      <c r="P279" s="3">
        <v>58.3</v>
      </c>
      <c r="Q279" s="3">
        <v>0</v>
      </c>
    </row>
    <row r="280" spans="1:17">
      <c r="A280" t="s">
        <v>564</v>
      </c>
      <c r="B280" t="s">
        <v>565</v>
      </c>
      <c r="C280" s="3">
        <v>22.78</v>
      </c>
      <c r="D280" s="3">
        <v>1.89</v>
      </c>
      <c r="E280" s="3">
        <v>32.7</v>
      </c>
      <c r="F280" s="3">
        <v>66.37</v>
      </c>
      <c r="G280" s="3">
        <v>0</v>
      </c>
      <c r="H280" s="3">
        <v>1</v>
      </c>
      <c r="I280" s="3">
        <v>1</v>
      </c>
      <c r="J280" s="3">
        <v>5847.39</v>
      </c>
      <c r="K280" s="3">
        <v>83366.52</v>
      </c>
      <c r="L280" s="3">
        <v>22974.36</v>
      </c>
      <c r="M280" s="3">
        <v>0</v>
      </c>
      <c r="N280" s="3">
        <v>58.3</v>
      </c>
      <c r="O280" s="3">
        <v>88.5</v>
      </c>
      <c r="P280" s="3">
        <v>58.3</v>
      </c>
      <c r="Q280" s="3">
        <v>0</v>
      </c>
    </row>
    <row r="281" spans="1:17">
      <c r="A281" t="s">
        <v>566</v>
      </c>
      <c r="B281" t="s">
        <v>567</v>
      </c>
      <c r="C281" s="3">
        <v>22.79</v>
      </c>
      <c r="D281" s="3">
        <v>1.88</v>
      </c>
      <c r="E281" s="3">
        <v>32.2</v>
      </c>
      <c r="F281" s="3">
        <v>53.51</v>
      </c>
      <c r="G281" s="3">
        <v>0</v>
      </c>
      <c r="H281" s="3">
        <v>1</v>
      </c>
      <c r="I281" s="3">
        <v>1</v>
      </c>
      <c r="J281" s="3">
        <v>5785.36</v>
      </c>
      <c r="K281" s="3">
        <v>83051.92</v>
      </c>
      <c r="L281" s="3">
        <v>22772.38</v>
      </c>
      <c r="M281" s="3">
        <v>0</v>
      </c>
      <c r="N281" s="3">
        <v>58.5</v>
      </c>
      <c r="O281" s="3">
        <v>88.59999999999999</v>
      </c>
      <c r="P281" s="3">
        <v>58.5</v>
      </c>
      <c r="Q281" s="3">
        <v>0</v>
      </c>
    </row>
    <row r="282" spans="1:17">
      <c r="A282" t="s">
        <v>568</v>
      </c>
      <c r="B282" t="s">
        <v>569</v>
      </c>
      <c r="C282" s="3">
        <v>22.82</v>
      </c>
      <c r="D282" s="3">
        <v>1.89</v>
      </c>
      <c r="E282" s="3">
        <v>31.7</v>
      </c>
      <c r="F282" s="3">
        <v>47.88</v>
      </c>
      <c r="G282" s="3">
        <v>0</v>
      </c>
      <c r="H282" s="3">
        <v>1</v>
      </c>
      <c r="I282" s="3">
        <v>1</v>
      </c>
      <c r="J282" s="3">
        <v>5723.45</v>
      </c>
      <c r="K282" s="3">
        <v>82116.59</v>
      </c>
      <c r="L282" s="3">
        <v>22172.59</v>
      </c>
      <c r="M282" s="3">
        <v>0</v>
      </c>
      <c r="N282" s="3">
        <v>58.9</v>
      </c>
      <c r="O282" s="3">
        <v>88.90000000000001</v>
      </c>
      <c r="P282" s="3">
        <v>58.9</v>
      </c>
      <c r="Q282" s="3">
        <v>0</v>
      </c>
    </row>
    <row r="283" spans="1:17">
      <c r="A283" t="s">
        <v>570</v>
      </c>
      <c r="B283" t="s">
        <v>571</v>
      </c>
      <c r="C283" s="3">
        <v>22.83</v>
      </c>
      <c r="D283" s="3">
        <v>1.89</v>
      </c>
      <c r="E283" s="3">
        <v>31.27</v>
      </c>
      <c r="F283" s="3">
        <v>98.31</v>
      </c>
      <c r="G283" s="3">
        <v>0</v>
      </c>
      <c r="H283" s="3">
        <v>1</v>
      </c>
      <c r="I283" s="3">
        <v>1</v>
      </c>
      <c r="J283" s="3">
        <v>5661.66</v>
      </c>
      <c r="K283" s="3">
        <v>81500</v>
      </c>
      <c r="L283" s="3">
        <v>21777.78</v>
      </c>
      <c r="M283" s="3">
        <v>0</v>
      </c>
      <c r="N283" s="3">
        <v>59.2</v>
      </c>
      <c r="O283" s="3">
        <v>89.09999999999999</v>
      </c>
      <c r="P283" s="3">
        <v>59.2</v>
      </c>
      <c r="Q283" s="3">
        <v>0</v>
      </c>
    </row>
    <row r="284" spans="1:17">
      <c r="A284" t="s">
        <v>572</v>
      </c>
      <c r="B284" t="s">
        <v>573</v>
      </c>
      <c r="C284" s="3">
        <v>22.85</v>
      </c>
      <c r="D284" s="3">
        <v>1.89</v>
      </c>
      <c r="E284" s="3">
        <v>30.83</v>
      </c>
      <c r="F284" s="3">
        <v>51.97</v>
      </c>
      <c r="G284" s="3">
        <v>0</v>
      </c>
      <c r="H284" s="3">
        <v>0</v>
      </c>
      <c r="I284" s="3">
        <v>1</v>
      </c>
      <c r="J284" s="3">
        <v>5600</v>
      </c>
      <c r="K284" s="3">
        <v>81500</v>
      </c>
      <c r="L284" s="3">
        <v>21484.28</v>
      </c>
      <c r="M284" s="3">
        <v>0</v>
      </c>
      <c r="N284" s="3">
        <v>59.2</v>
      </c>
      <c r="O284" s="3">
        <v>89.3</v>
      </c>
      <c r="P284" s="3">
        <v>59.2</v>
      </c>
      <c r="Q284" s="3">
        <v>0</v>
      </c>
    </row>
    <row r="285" spans="1:17">
      <c r="A285" t="s">
        <v>574</v>
      </c>
      <c r="B285" t="s">
        <v>575</v>
      </c>
      <c r="C285" s="3">
        <v>22.86</v>
      </c>
      <c r="D285" s="3">
        <v>1.89</v>
      </c>
      <c r="E285" s="3">
        <v>30.35</v>
      </c>
      <c r="F285" s="3">
        <v>50.25</v>
      </c>
      <c r="G285" s="3">
        <v>0</v>
      </c>
      <c r="H285" s="3">
        <v>0</v>
      </c>
      <c r="I285" s="3">
        <v>1</v>
      </c>
      <c r="J285" s="3">
        <v>5538.46</v>
      </c>
      <c r="K285" s="3">
        <v>80585.37</v>
      </c>
      <c r="L285" s="3">
        <v>21000</v>
      </c>
      <c r="M285" s="3">
        <v>0</v>
      </c>
      <c r="N285" s="3">
        <v>59.7</v>
      </c>
      <c r="O285" s="3">
        <v>89.5</v>
      </c>
      <c r="P285" s="3">
        <v>59.7</v>
      </c>
      <c r="Q285" s="3">
        <v>0</v>
      </c>
    </row>
    <row r="286" spans="1:17">
      <c r="A286" t="s">
        <v>576</v>
      </c>
      <c r="B286" t="s">
        <v>577</v>
      </c>
      <c r="C286" s="3">
        <v>22.88</v>
      </c>
      <c r="D286" s="3">
        <v>1.89</v>
      </c>
      <c r="E286" s="3">
        <v>29.9</v>
      </c>
      <c r="F286" s="3">
        <v>53.92</v>
      </c>
      <c r="G286" s="3">
        <v>0</v>
      </c>
      <c r="H286" s="3">
        <v>0</v>
      </c>
      <c r="I286" s="3">
        <v>1</v>
      </c>
      <c r="J286" s="3">
        <v>5538.46</v>
      </c>
      <c r="K286" s="3">
        <v>80585.37</v>
      </c>
      <c r="L286" s="3">
        <v>20807.98</v>
      </c>
      <c r="M286" s="3">
        <v>0</v>
      </c>
      <c r="N286" s="3">
        <v>59.7</v>
      </c>
      <c r="O286" s="3">
        <v>89.59999999999999</v>
      </c>
      <c r="P286" s="3">
        <v>59.7</v>
      </c>
      <c r="Q286" s="3">
        <v>0</v>
      </c>
    </row>
    <row r="287" spans="1:17">
      <c r="A287" t="s">
        <v>578</v>
      </c>
      <c r="B287" t="s">
        <v>579</v>
      </c>
      <c r="C287" s="3">
        <v>22.9</v>
      </c>
      <c r="D287" s="3">
        <v>1.88</v>
      </c>
      <c r="E287" s="3">
        <v>29.45</v>
      </c>
      <c r="F287" s="3">
        <v>88.83</v>
      </c>
      <c r="G287" s="3">
        <v>0</v>
      </c>
      <c r="H287" s="3">
        <v>1</v>
      </c>
      <c r="I287" s="3">
        <v>1</v>
      </c>
      <c r="J287" s="3">
        <v>5415.75</v>
      </c>
      <c r="K287" s="3">
        <v>79982.34</v>
      </c>
      <c r="L287" s="3">
        <v>20332.09</v>
      </c>
      <c r="M287" s="3">
        <v>0</v>
      </c>
      <c r="N287" s="3">
        <v>60</v>
      </c>
      <c r="O287" s="3">
        <v>89.8</v>
      </c>
      <c r="P287" s="3">
        <v>60</v>
      </c>
      <c r="Q287" s="3">
        <v>0</v>
      </c>
    </row>
    <row r="288" spans="1:17">
      <c r="A288" t="s">
        <v>580</v>
      </c>
      <c r="B288" t="s">
        <v>581</v>
      </c>
      <c r="C288" s="3">
        <v>22.92</v>
      </c>
      <c r="D288" s="3">
        <v>1.9</v>
      </c>
      <c r="E288" s="3">
        <v>29.03</v>
      </c>
      <c r="F288" s="3">
        <v>50.66</v>
      </c>
      <c r="G288" s="3">
        <v>0</v>
      </c>
      <c r="H288" s="3">
        <v>1</v>
      </c>
      <c r="I288" s="3">
        <v>1</v>
      </c>
      <c r="J288" s="3">
        <v>5415.75</v>
      </c>
      <c r="K288" s="3">
        <v>79682.82000000001</v>
      </c>
      <c r="L288" s="3">
        <v>19955.61</v>
      </c>
      <c r="M288" s="3">
        <v>0</v>
      </c>
      <c r="N288" s="3">
        <v>60.2</v>
      </c>
      <c r="O288" s="3">
        <v>90</v>
      </c>
      <c r="P288" s="3">
        <v>60.2</v>
      </c>
      <c r="Q288" s="3">
        <v>0</v>
      </c>
    </row>
    <row r="289" spans="1:17">
      <c r="A289" t="s">
        <v>582</v>
      </c>
      <c r="B289" t="s">
        <v>583</v>
      </c>
      <c r="C289" s="3">
        <v>22.94</v>
      </c>
      <c r="D289" s="3">
        <v>1.9</v>
      </c>
      <c r="E289" s="3">
        <v>28.54</v>
      </c>
      <c r="F289" s="3">
        <v>48.53</v>
      </c>
      <c r="G289" s="3">
        <v>0</v>
      </c>
      <c r="H289" s="3">
        <v>1</v>
      </c>
      <c r="I289" s="3">
        <v>1</v>
      </c>
      <c r="J289" s="3">
        <v>5354.58</v>
      </c>
      <c r="K289" s="3">
        <v>79384.62</v>
      </c>
      <c r="L289" s="3">
        <v>19582.82</v>
      </c>
      <c r="M289" s="3">
        <v>0</v>
      </c>
      <c r="N289" s="3">
        <v>60.3</v>
      </c>
      <c r="O289" s="3">
        <v>90.2</v>
      </c>
      <c r="P289" s="3">
        <v>60.3</v>
      </c>
      <c r="Q289" s="3">
        <v>0</v>
      </c>
    </row>
    <row r="290" spans="1:17">
      <c r="A290" t="s">
        <v>584</v>
      </c>
      <c r="B290" t="s">
        <v>585</v>
      </c>
      <c r="C290" s="3">
        <v>22.96</v>
      </c>
      <c r="D290" s="3">
        <v>1.84</v>
      </c>
      <c r="E290" s="3">
        <v>28.13</v>
      </c>
      <c r="F290" s="3">
        <v>49.3</v>
      </c>
      <c r="G290" s="3">
        <v>0</v>
      </c>
      <c r="H290" s="3">
        <v>1</v>
      </c>
      <c r="I290" s="3">
        <v>1</v>
      </c>
      <c r="J290" s="3">
        <v>5293.53</v>
      </c>
      <c r="K290" s="3">
        <v>78792.12</v>
      </c>
      <c r="L290" s="3">
        <v>19305.62</v>
      </c>
      <c r="M290" s="3">
        <v>0</v>
      </c>
      <c r="N290" s="3">
        <v>60.6</v>
      </c>
      <c r="O290" s="3">
        <v>90.3</v>
      </c>
      <c r="P290" s="3">
        <v>60.6</v>
      </c>
      <c r="Q290" s="3">
        <v>0</v>
      </c>
    </row>
    <row r="291" spans="1:17">
      <c r="A291" t="s">
        <v>586</v>
      </c>
      <c r="B291" t="s">
        <v>587</v>
      </c>
      <c r="C291" s="3">
        <v>22.98</v>
      </c>
      <c r="D291" s="3">
        <v>1.9</v>
      </c>
      <c r="E291" s="3">
        <v>27.7</v>
      </c>
      <c r="F291" s="3">
        <v>46.69</v>
      </c>
      <c r="G291" s="3">
        <v>0</v>
      </c>
      <c r="H291" s="3">
        <v>1</v>
      </c>
      <c r="I291" s="3">
        <v>1</v>
      </c>
      <c r="J291" s="3">
        <v>5232.6</v>
      </c>
      <c r="K291" s="3">
        <v>78792.12</v>
      </c>
      <c r="L291" s="3">
        <v>19121.95</v>
      </c>
      <c r="M291" s="3">
        <v>0</v>
      </c>
      <c r="N291" s="3">
        <v>60.6</v>
      </c>
      <c r="O291" s="3">
        <v>90.40000000000001</v>
      </c>
      <c r="P291" s="3">
        <v>60.6</v>
      </c>
      <c r="Q291" s="3">
        <v>0</v>
      </c>
    </row>
    <row r="292" spans="1:17">
      <c r="A292" t="s">
        <v>588</v>
      </c>
      <c r="B292" t="s">
        <v>589</v>
      </c>
      <c r="C292" s="3">
        <v>23.01</v>
      </c>
      <c r="D292" s="3">
        <v>1.88</v>
      </c>
      <c r="E292" s="3">
        <v>27.23</v>
      </c>
      <c r="F292" s="3">
        <v>69.92</v>
      </c>
      <c r="G292" s="3">
        <v>0</v>
      </c>
      <c r="H292" s="3">
        <v>1</v>
      </c>
      <c r="I292" s="3">
        <v>1</v>
      </c>
      <c r="J292" s="3">
        <v>5171.8</v>
      </c>
      <c r="K292" s="3">
        <v>78792.12</v>
      </c>
      <c r="L292" s="3">
        <v>18848.12</v>
      </c>
      <c r="M292" s="3">
        <v>0</v>
      </c>
      <c r="N292" s="3">
        <v>60.6</v>
      </c>
      <c r="O292" s="3">
        <v>90.59999999999999</v>
      </c>
      <c r="P292" s="3">
        <v>60.6</v>
      </c>
      <c r="Q292" s="3">
        <v>0</v>
      </c>
    </row>
    <row r="293" spans="1:17">
      <c r="A293" t="s">
        <v>590</v>
      </c>
      <c r="B293" t="s">
        <v>591</v>
      </c>
      <c r="C293" s="3">
        <v>23.03</v>
      </c>
      <c r="D293" s="3">
        <v>1.91</v>
      </c>
      <c r="E293" s="3">
        <v>26.78</v>
      </c>
      <c r="F293" s="3">
        <v>92.62</v>
      </c>
      <c r="G293" s="3">
        <v>0</v>
      </c>
      <c r="H293" s="3">
        <v>1</v>
      </c>
      <c r="I293" s="3">
        <v>1</v>
      </c>
      <c r="J293" s="3">
        <v>5111.11</v>
      </c>
      <c r="K293" s="3">
        <v>78204.78999999999</v>
      </c>
      <c r="L293" s="3">
        <v>18486.09</v>
      </c>
      <c r="M293" s="3">
        <v>0</v>
      </c>
      <c r="N293" s="3">
        <v>60.9</v>
      </c>
      <c r="O293" s="3">
        <v>90.8</v>
      </c>
      <c r="P293" s="3">
        <v>60.9</v>
      </c>
      <c r="Q293" s="3">
        <v>0</v>
      </c>
    </row>
    <row r="294" spans="1:17">
      <c r="A294" t="s">
        <v>592</v>
      </c>
      <c r="B294" t="s">
        <v>593</v>
      </c>
      <c r="C294" s="3">
        <v>23.06</v>
      </c>
      <c r="D294" s="3">
        <v>1.84</v>
      </c>
      <c r="E294" s="3">
        <v>26.35</v>
      </c>
      <c r="F294" s="3">
        <v>56.89</v>
      </c>
      <c r="G294" s="3">
        <v>0</v>
      </c>
      <c r="H294" s="3">
        <v>1</v>
      </c>
      <c r="I294" s="3">
        <v>1</v>
      </c>
      <c r="J294" s="3">
        <v>5050.55</v>
      </c>
      <c r="K294" s="3">
        <v>77622.56</v>
      </c>
      <c r="L294" s="3">
        <v>18127.56</v>
      </c>
      <c r="M294" s="3">
        <v>0</v>
      </c>
      <c r="N294" s="3">
        <v>61.2</v>
      </c>
      <c r="O294" s="3">
        <v>90.90000000000001</v>
      </c>
      <c r="P294" s="3">
        <v>61.2</v>
      </c>
      <c r="Q294" s="3">
        <v>0</v>
      </c>
    </row>
    <row r="295" spans="1:17">
      <c r="A295" t="s">
        <v>594</v>
      </c>
      <c r="B295" t="s">
        <v>595</v>
      </c>
      <c r="C295" s="3">
        <v>23.08</v>
      </c>
      <c r="D295" s="3">
        <v>1.92</v>
      </c>
      <c r="E295" s="3">
        <v>25.94</v>
      </c>
      <c r="F295" s="3">
        <v>59.67</v>
      </c>
      <c r="G295" s="3">
        <v>0</v>
      </c>
      <c r="H295" s="3">
        <v>1</v>
      </c>
      <c r="I295" s="3">
        <v>1</v>
      </c>
      <c r="J295" s="3">
        <v>4990.1</v>
      </c>
      <c r="K295" s="3">
        <v>77045.36</v>
      </c>
      <c r="L295" s="3">
        <v>17772.46</v>
      </c>
      <c r="M295" s="3">
        <v>0</v>
      </c>
      <c r="N295" s="3">
        <v>61.5</v>
      </c>
      <c r="O295" s="3">
        <v>91.09999999999999</v>
      </c>
      <c r="P295" s="3">
        <v>61.5</v>
      </c>
      <c r="Q295" s="3">
        <v>0</v>
      </c>
    </row>
    <row r="296" spans="1:17">
      <c r="A296" t="s">
        <v>596</v>
      </c>
      <c r="B296" t="s">
        <v>597</v>
      </c>
      <c r="C296" s="3">
        <v>23.1</v>
      </c>
      <c r="D296" s="3">
        <v>1.97</v>
      </c>
      <c r="E296" s="3">
        <v>25.56</v>
      </c>
      <c r="F296" s="3">
        <v>58.25</v>
      </c>
      <c r="G296" s="3">
        <v>0</v>
      </c>
      <c r="H296" s="3">
        <v>1</v>
      </c>
      <c r="I296" s="3">
        <v>1</v>
      </c>
      <c r="J296" s="3">
        <v>4929.77</v>
      </c>
      <c r="K296" s="3">
        <v>76758.62</v>
      </c>
      <c r="L296" s="3">
        <v>17508.35</v>
      </c>
      <c r="M296" s="3">
        <v>0</v>
      </c>
      <c r="N296" s="3">
        <v>61.6</v>
      </c>
      <c r="O296" s="3">
        <v>91.2</v>
      </c>
      <c r="P296" s="3">
        <v>61.6</v>
      </c>
      <c r="Q296" s="3">
        <v>0</v>
      </c>
    </row>
    <row r="297" spans="1:17">
      <c r="A297" t="s">
        <v>598</v>
      </c>
      <c r="B297" t="s">
        <v>599</v>
      </c>
      <c r="C297" s="3">
        <v>23.13</v>
      </c>
      <c r="D297" s="3">
        <v>1.91</v>
      </c>
      <c r="E297" s="3">
        <v>25.14</v>
      </c>
      <c r="F297" s="3">
        <v>70.81</v>
      </c>
      <c r="G297" s="3">
        <v>0</v>
      </c>
      <c r="H297" s="3">
        <v>1</v>
      </c>
      <c r="I297" s="3">
        <v>1</v>
      </c>
      <c r="J297" s="3">
        <v>4869.57</v>
      </c>
      <c r="K297" s="3">
        <v>76473.12</v>
      </c>
      <c r="L297" s="3">
        <v>17246.14</v>
      </c>
      <c r="M297" s="3">
        <v>0</v>
      </c>
      <c r="N297" s="3">
        <v>61.8</v>
      </c>
      <c r="O297" s="3">
        <v>91.40000000000001</v>
      </c>
      <c r="P297" s="3">
        <v>61.8</v>
      </c>
      <c r="Q297" s="3">
        <v>0</v>
      </c>
    </row>
    <row r="298" spans="1:17">
      <c r="A298" t="s">
        <v>600</v>
      </c>
      <c r="B298" t="s">
        <v>601</v>
      </c>
      <c r="C298" s="3">
        <v>23.16</v>
      </c>
      <c r="D298" s="3">
        <v>1.91</v>
      </c>
      <c r="E298" s="3">
        <v>24.77</v>
      </c>
      <c r="F298" s="3">
        <v>52.5</v>
      </c>
      <c r="G298" s="3">
        <v>0</v>
      </c>
      <c r="H298" s="3">
        <v>1</v>
      </c>
      <c r="I298" s="3">
        <v>1</v>
      </c>
      <c r="J298" s="3">
        <v>4809.48</v>
      </c>
      <c r="K298" s="3">
        <v>75905.78</v>
      </c>
      <c r="L298" s="3">
        <v>16899.41</v>
      </c>
      <c r="M298" s="3">
        <v>0</v>
      </c>
      <c r="N298" s="3">
        <v>62</v>
      </c>
      <c r="O298" s="3">
        <v>91.59999999999999</v>
      </c>
      <c r="P298" s="3">
        <v>62</v>
      </c>
      <c r="Q298" s="3">
        <v>0</v>
      </c>
    </row>
    <row r="299" spans="1:17">
      <c r="A299" t="s">
        <v>602</v>
      </c>
      <c r="B299" t="s">
        <v>603</v>
      </c>
      <c r="C299" s="3">
        <v>23.19</v>
      </c>
      <c r="D299" s="3">
        <v>1.87</v>
      </c>
      <c r="E299" s="3">
        <v>24.43</v>
      </c>
      <c r="F299" s="3">
        <v>55.05</v>
      </c>
      <c r="G299" s="3">
        <v>0</v>
      </c>
      <c r="H299" s="3">
        <v>0</v>
      </c>
      <c r="I299" s="3">
        <v>1</v>
      </c>
      <c r="J299" s="3">
        <v>4749.51</v>
      </c>
      <c r="K299" s="3">
        <v>75623.92999999999</v>
      </c>
      <c r="L299" s="3">
        <v>16641.51</v>
      </c>
      <c r="M299" s="3">
        <v>0</v>
      </c>
      <c r="N299" s="3">
        <v>62.2</v>
      </c>
      <c r="O299" s="3">
        <v>91.7</v>
      </c>
      <c r="P299" s="3">
        <v>62.2</v>
      </c>
      <c r="Q299" s="3">
        <v>0</v>
      </c>
    </row>
    <row r="300" spans="1:17">
      <c r="A300" t="s">
        <v>604</v>
      </c>
      <c r="B300" t="s">
        <v>605</v>
      </c>
      <c r="C300" s="3">
        <v>23.22</v>
      </c>
      <c r="D300" s="3">
        <v>1.83</v>
      </c>
      <c r="E300" s="3">
        <v>24.06</v>
      </c>
      <c r="F300" s="3">
        <v>70.58</v>
      </c>
      <c r="G300" s="3">
        <v>0</v>
      </c>
      <c r="H300" s="3">
        <v>0</v>
      </c>
      <c r="I300" s="3">
        <v>1</v>
      </c>
      <c r="J300" s="3">
        <v>4749.51</v>
      </c>
      <c r="K300" s="3">
        <v>75343.28</v>
      </c>
      <c r="L300" s="3">
        <v>16385.43</v>
      </c>
      <c r="M300" s="3">
        <v>0</v>
      </c>
      <c r="N300" s="3">
        <v>62.3</v>
      </c>
      <c r="O300" s="3">
        <v>91.8</v>
      </c>
      <c r="P300" s="3">
        <v>62.3</v>
      </c>
      <c r="Q300" s="3">
        <v>0</v>
      </c>
    </row>
    <row r="301" spans="1:17">
      <c r="A301" t="s">
        <v>606</v>
      </c>
      <c r="B301" t="s">
        <v>607</v>
      </c>
      <c r="C301" s="3">
        <v>23.26</v>
      </c>
      <c r="D301" s="3">
        <v>1.92</v>
      </c>
      <c r="E301" s="3">
        <v>23.68</v>
      </c>
      <c r="F301" s="3">
        <v>102.87</v>
      </c>
      <c r="G301" s="3">
        <v>0</v>
      </c>
      <c r="H301" s="3">
        <v>0</v>
      </c>
      <c r="I301" s="3">
        <v>1</v>
      </c>
      <c r="J301" s="3">
        <v>4689.66</v>
      </c>
      <c r="K301" s="3">
        <v>75063.83</v>
      </c>
      <c r="L301" s="3">
        <v>16215.71</v>
      </c>
      <c r="M301" s="3">
        <v>0</v>
      </c>
      <c r="N301" s="3">
        <v>62.5</v>
      </c>
      <c r="O301" s="3">
        <v>91.90000000000001</v>
      </c>
      <c r="P301" s="3">
        <v>62.5</v>
      </c>
      <c r="Q301" s="3">
        <v>0</v>
      </c>
    </row>
    <row r="302" spans="1:17">
      <c r="A302" t="s">
        <v>608</v>
      </c>
      <c r="B302" t="s">
        <v>609</v>
      </c>
      <c r="C302" s="3">
        <v>23.29</v>
      </c>
      <c r="D302" s="3">
        <v>1.8</v>
      </c>
      <c r="E302" s="3">
        <v>23.29</v>
      </c>
      <c r="F302" s="3">
        <v>88.59</v>
      </c>
      <c r="G302" s="3">
        <v>1</v>
      </c>
      <c r="H302" s="3">
        <v>1</v>
      </c>
      <c r="I302" s="3">
        <v>1</v>
      </c>
      <c r="J302" s="3">
        <v>4629.92</v>
      </c>
      <c r="K302" s="3">
        <v>74785.56</v>
      </c>
      <c r="L302" s="3">
        <v>15878.65</v>
      </c>
      <c r="M302" s="3">
        <v>0</v>
      </c>
      <c r="N302" s="3">
        <v>62.6</v>
      </c>
      <c r="O302" s="3">
        <v>92.09999999999999</v>
      </c>
      <c r="P302" s="3">
        <v>62.6</v>
      </c>
      <c r="Q302" s="3">
        <v>0</v>
      </c>
    </row>
    <row r="303" spans="1:17">
      <c r="A303" t="s">
        <v>610</v>
      </c>
      <c r="B303" t="s">
        <v>611</v>
      </c>
      <c r="C303" s="3">
        <v>23.33</v>
      </c>
      <c r="D303" s="3">
        <v>1.88</v>
      </c>
      <c r="E303" s="3">
        <v>22.93</v>
      </c>
      <c r="F303" s="3">
        <v>48.47</v>
      </c>
      <c r="G303" s="3">
        <v>1</v>
      </c>
      <c r="H303" s="3">
        <v>1</v>
      </c>
      <c r="I303" s="3">
        <v>1</v>
      </c>
      <c r="J303" s="3">
        <v>4570.3</v>
      </c>
      <c r="K303" s="3">
        <v>74508.47</v>
      </c>
      <c r="L303" s="3">
        <v>15627.91</v>
      </c>
      <c r="M303" s="3">
        <v>0</v>
      </c>
      <c r="N303" s="3">
        <v>62.7</v>
      </c>
      <c r="O303" s="3">
        <v>92.2</v>
      </c>
      <c r="P303" s="3">
        <v>62.7</v>
      </c>
      <c r="Q303" s="3">
        <v>0</v>
      </c>
    </row>
    <row r="304" spans="1:17">
      <c r="A304" t="s">
        <v>612</v>
      </c>
      <c r="B304" t="s">
        <v>613</v>
      </c>
      <c r="C304" s="3">
        <v>23.37</v>
      </c>
      <c r="D304" s="3">
        <v>1.88</v>
      </c>
      <c r="E304" s="3">
        <v>22.51</v>
      </c>
      <c r="F304" s="3">
        <v>68.73999999999999</v>
      </c>
      <c r="G304" s="3">
        <v>0</v>
      </c>
      <c r="H304" s="3">
        <v>0</v>
      </c>
      <c r="I304" s="3">
        <v>0</v>
      </c>
      <c r="J304" s="3">
        <v>4510.81</v>
      </c>
      <c r="K304" s="3">
        <v>74232.56</v>
      </c>
      <c r="L304" s="3">
        <v>15378.91</v>
      </c>
      <c r="M304" s="3">
        <v>0</v>
      </c>
      <c r="N304" s="3">
        <v>62.9</v>
      </c>
      <c r="O304" s="3">
        <v>92.3</v>
      </c>
      <c r="P304" s="3">
        <v>62.9</v>
      </c>
      <c r="Q304" s="3">
        <v>0</v>
      </c>
    </row>
    <row r="305" spans="1:17">
      <c r="A305" t="s">
        <v>614</v>
      </c>
      <c r="B305" t="s">
        <v>615</v>
      </c>
      <c r="C305" s="3">
        <v>23.4</v>
      </c>
      <c r="D305" s="3">
        <v>1.9</v>
      </c>
      <c r="E305" s="3">
        <v>22.21</v>
      </c>
      <c r="F305" s="3">
        <v>52.32</v>
      </c>
      <c r="G305" s="3">
        <v>0</v>
      </c>
      <c r="H305" s="3">
        <v>0</v>
      </c>
      <c r="I305" s="3">
        <v>0</v>
      </c>
      <c r="J305" s="3">
        <v>4510.81</v>
      </c>
      <c r="K305" s="3">
        <v>73684.21000000001</v>
      </c>
      <c r="L305" s="3">
        <v>15049.6</v>
      </c>
      <c r="M305" s="3">
        <v>0</v>
      </c>
      <c r="N305" s="3">
        <v>63.2</v>
      </c>
      <c r="O305" s="3">
        <v>92.5</v>
      </c>
      <c r="P305" s="3">
        <v>63.2</v>
      </c>
      <c r="Q305" s="3">
        <v>0</v>
      </c>
    </row>
    <row r="306" spans="1:17">
      <c r="A306" t="s">
        <v>616</v>
      </c>
      <c r="B306" t="s">
        <v>617</v>
      </c>
      <c r="C306" s="3">
        <v>23.44</v>
      </c>
      <c r="D306" s="3">
        <v>1.9</v>
      </c>
      <c r="E306" s="3">
        <v>21.89</v>
      </c>
      <c r="F306" s="3">
        <v>53.57</v>
      </c>
      <c r="G306" s="3">
        <v>0</v>
      </c>
      <c r="H306" s="3">
        <v>0</v>
      </c>
      <c r="I306" s="3">
        <v>0</v>
      </c>
      <c r="J306" s="3">
        <v>4451.42</v>
      </c>
      <c r="K306" s="3">
        <v>73411.75999999999</v>
      </c>
      <c r="L306" s="3">
        <v>14804.6</v>
      </c>
      <c r="M306" s="3">
        <v>0</v>
      </c>
      <c r="N306" s="3">
        <v>63.3</v>
      </c>
      <c r="O306" s="3">
        <v>92.59999999999999</v>
      </c>
      <c r="P306" s="3">
        <v>63.3</v>
      </c>
      <c r="Q306" s="3">
        <v>0</v>
      </c>
    </row>
    <row r="307" spans="1:17">
      <c r="A307" t="s">
        <v>618</v>
      </c>
      <c r="B307" t="s">
        <v>619</v>
      </c>
      <c r="C307" s="3">
        <v>23.49</v>
      </c>
      <c r="D307" s="3">
        <v>1.9</v>
      </c>
      <c r="E307" s="3">
        <v>21.54</v>
      </c>
      <c r="F307" s="3">
        <v>48.47</v>
      </c>
      <c r="G307" s="3">
        <v>0</v>
      </c>
      <c r="H307" s="3">
        <v>0</v>
      </c>
      <c r="I307" s="3">
        <v>0</v>
      </c>
      <c r="J307" s="3">
        <v>4392.16</v>
      </c>
      <c r="K307" s="3">
        <v>72870.28999999999</v>
      </c>
      <c r="L307" s="3">
        <v>14561.28</v>
      </c>
      <c r="M307" s="3">
        <v>0</v>
      </c>
      <c r="N307" s="3">
        <v>63.6</v>
      </c>
      <c r="O307" s="3">
        <v>92.7</v>
      </c>
      <c r="P307" s="3">
        <v>63.6</v>
      </c>
      <c r="Q307" s="3">
        <v>0</v>
      </c>
    </row>
    <row r="308" spans="1:17">
      <c r="A308" t="s">
        <v>620</v>
      </c>
      <c r="B308" t="s">
        <v>621</v>
      </c>
      <c r="C308" s="3">
        <v>23.53</v>
      </c>
      <c r="D308" s="3">
        <v>1.89</v>
      </c>
      <c r="E308" s="3">
        <v>21.19</v>
      </c>
      <c r="F308" s="3">
        <v>72.47</v>
      </c>
      <c r="G308" s="3">
        <v>0</v>
      </c>
      <c r="H308" s="3">
        <v>0</v>
      </c>
      <c r="I308" s="3">
        <v>1</v>
      </c>
      <c r="J308" s="3">
        <v>4333.01</v>
      </c>
      <c r="K308" s="3">
        <v>72870.28999999999</v>
      </c>
      <c r="L308" s="3">
        <v>14239.45</v>
      </c>
      <c r="M308" s="3">
        <v>0</v>
      </c>
      <c r="N308" s="3">
        <v>63.6</v>
      </c>
      <c r="O308" s="3">
        <v>92.90000000000001</v>
      </c>
      <c r="P308" s="3">
        <v>63.6</v>
      </c>
      <c r="Q308" s="3">
        <v>0</v>
      </c>
    </row>
    <row r="309" spans="1:17">
      <c r="A309" t="s">
        <v>622</v>
      </c>
      <c r="B309" t="s">
        <v>623</v>
      </c>
      <c r="C309" s="3">
        <v>23.57</v>
      </c>
      <c r="D309" s="3">
        <v>1.9</v>
      </c>
      <c r="E309" s="3">
        <v>20.85</v>
      </c>
      <c r="F309" s="3">
        <v>66.31</v>
      </c>
      <c r="G309" s="3">
        <v>0</v>
      </c>
      <c r="H309" s="3">
        <v>0</v>
      </c>
      <c r="I309" s="3">
        <v>1</v>
      </c>
      <c r="J309" s="3">
        <v>4273.97</v>
      </c>
      <c r="K309" s="3">
        <v>72333.33</v>
      </c>
      <c r="L309" s="3">
        <v>14000</v>
      </c>
      <c r="M309" s="3">
        <v>0</v>
      </c>
      <c r="N309" s="3">
        <v>63.8</v>
      </c>
      <c r="O309" s="3">
        <v>93</v>
      </c>
      <c r="P309" s="3">
        <v>63.8</v>
      </c>
      <c r="Q309" s="3">
        <v>0</v>
      </c>
    </row>
    <row r="310" spans="1:17">
      <c r="A310" t="s">
        <v>624</v>
      </c>
      <c r="B310" t="s">
        <v>625</v>
      </c>
      <c r="C310" s="3">
        <v>23.6</v>
      </c>
      <c r="D310" s="3">
        <v>1.9</v>
      </c>
      <c r="E310" s="3">
        <v>20.57</v>
      </c>
      <c r="F310" s="3">
        <v>55.29</v>
      </c>
      <c r="G310" s="3">
        <v>0</v>
      </c>
      <c r="H310" s="3">
        <v>0</v>
      </c>
      <c r="I310" s="3">
        <v>1</v>
      </c>
      <c r="J310" s="3">
        <v>4215.05</v>
      </c>
      <c r="K310" s="3">
        <v>72066.53</v>
      </c>
      <c r="L310" s="3">
        <v>13762.17</v>
      </c>
      <c r="M310" s="3">
        <v>0</v>
      </c>
      <c r="N310" s="3">
        <v>64</v>
      </c>
      <c r="O310" s="3">
        <v>93.09999999999999</v>
      </c>
      <c r="P310" s="3">
        <v>64</v>
      </c>
      <c r="Q310" s="3">
        <v>0</v>
      </c>
    </row>
    <row r="311" spans="1:17">
      <c r="A311" t="s">
        <v>626</v>
      </c>
      <c r="B311" t="s">
        <v>627</v>
      </c>
      <c r="C311" s="3">
        <v>23.64</v>
      </c>
      <c r="D311" s="3">
        <v>1.9</v>
      </c>
      <c r="E311" s="3">
        <v>20.22</v>
      </c>
      <c r="F311" s="3">
        <v>60.56</v>
      </c>
      <c r="G311" s="3">
        <v>0</v>
      </c>
      <c r="H311" s="3">
        <v>0</v>
      </c>
      <c r="I311" s="3">
        <v>0</v>
      </c>
      <c r="J311" s="3">
        <v>4156.25</v>
      </c>
      <c r="K311" s="3">
        <v>71800.83</v>
      </c>
      <c r="L311" s="3">
        <v>13525.96</v>
      </c>
      <c r="M311" s="3">
        <v>0</v>
      </c>
      <c r="N311" s="3">
        <v>64.09999999999999</v>
      </c>
      <c r="O311" s="3">
        <v>93.2</v>
      </c>
      <c r="P311" s="3">
        <v>64.09999999999999</v>
      </c>
      <c r="Q311" s="3">
        <v>0</v>
      </c>
    </row>
    <row r="312" spans="1:17">
      <c r="A312" t="s">
        <v>628</v>
      </c>
      <c r="B312" t="s">
        <v>629</v>
      </c>
      <c r="C312" s="3">
        <v>23.69</v>
      </c>
      <c r="D312" s="3">
        <v>1.92</v>
      </c>
      <c r="E312" s="3">
        <v>19.89</v>
      </c>
      <c r="F312" s="3">
        <v>61.57</v>
      </c>
      <c r="G312" s="3">
        <v>0</v>
      </c>
      <c r="H312" s="3">
        <v>0</v>
      </c>
      <c r="I312" s="3">
        <v>0</v>
      </c>
      <c r="J312" s="3">
        <v>4156.25</v>
      </c>
      <c r="K312" s="3">
        <v>71536.23</v>
      </c>
      <c r="L312" s="3">
        <v>13369.37</v>
      </c>
      <c r="M312" s="3">
        <v>0</v>
      </c>
      <c r="N312" s="3">
        <v>64.2</v>
      </c>
      <c r="O312" s="3">
        <v>93.3</v>
      </c>
      <c r="P312" s="3">
        <v>64.2</v>
      </c>
      <c r="Q312" s="3">
        <v>0</v>
      </c>
    </row>
    <row r="313" spans="1:17">
      <c r="A313" t="s">
        <v>630</v>
      </c>
      <c r="B313" t="s">
        <v>631</v>
      </c>
      <c r="C313" s="3">
        <v>23.73</v>
      </c>
      <c r="D313" s="3">
        <v>1.84</v>
      </c>
      <c r="E313" s="3">
        <v>19.53</v>
      </c>
      <c r="F313" s="3">
        <v>48.29</v>
      </c>
      <c r="G313" s="3">
        <v>0</v>
      </c>
      <c r="H313" s="3">
        <v>0</v>
      </c>
      <c r="I313" s="3">
        <v>0</v>
      </c>
      <c r="J313" s="3">
        <v>4097.56</v>
      </c>
      <c r="K313" s="3">
        <v>71800.83</v>
      </c>
      <c r="L313" s="3">
        <v>13135.8</v>
      </c>
      <c r="M313" s="3">
        <v>0</v>
      </c>
      <c r="N313" s="3">
        <v>64.09999999999999</v>
      </c>
      <c r="O313" s="3">
        <v>93.40000000000001</v>
      </c>
      <c r="P313" s="3">
        <v>64.09999999999999</v>
      </c>
      <c r="Q313" s="3">
        <v>0</v>
      </c>
    </row>
    <row r="314" spans="1:17">
      <c r="A314" t="s">
        <v>632</v>
      </c>
      <c r="B314" t="s">
        <v>633</v>
      </c>
      <c r="C314" s="3">
        <v>23.78</v>
      </c>
      <c r="D314" s="3">
        <v>1.91</v>
      </c>
      <c r="E314" s="3">
        <v>19.22</v>
      </c>
      <c r="F314" s="3">
        <v>58.49</v>
      </c>
      <c r="G314" s="3">
        <v>0</v>
      </c>
      <c r="H314" s="3">
        <v>0</v>
      </c>
      <c r="I314" s="3">
        <v>0</v>
      </c>
      <c r="J314" s="3">
        <v>4038.99</v>
      </c>
      <c r="K314" s="3">
        <v>71272.73</v>
      </c>
      <c r="L314" s="3">
        <v>12980.96</v>
      </c>
      <c r="M314" s="3">
        <v>0</v>
      </c>
      <c r="N314" s="3">
        <v>64.40000000000001</v>
      </c>
      <c r="O314" s="3">
        <v>93.5</v>
      </c>
      <c r="P314" s="3">
        <v>64.40000000000001</v>
      </c>
      <c r="Q314" s="3">
        <v>0</v>
      </c>
    </row>
    <row r="315" spans="1:17">
      <c r="A315" t="s">
        <v>634</v>
      </c>
      <c r="B315" t="s">
        <v>635</v>
      </c>
      <c r="C315" s="3">
        <v>23.86</v>
      </c>
      <c r="D315" s="3">
        <v>1.21</v>
      </c>
      <c r="E315" s="3">
        <v>20.03</v>
      </c>
      <c r="F315" s="3">
        <v>84.03</v>
      </c>
      <c r="G315" s="3">
        <v>0</v>
      </c>
      <c r="H315" s="3">
        <v>1</v>
      </c>
      <c r="I315" s="3">
        <v>1</v>
      </c>
      <c r="J315" s="3">
        <v>4510.81</v>
      </c>
      <c r="K315" s="3">
        <v>80888.89</v>
      </c>
      <c r="L315" s="3">
        <v>15962.62</v>
      </c>
      <c r="M315" s="3">
        <v>0</v>
      </c>
      <c r="N315" s="3">
        <v>59.6</v>
      </c>
      <c r="O315" s="3">
        <v>92</v>
      </c>
      <c r="P315" s="3">
        <v>59.6</v>
      </c>
      <c r="Q315" s="3">
        <v>0</v>
      </c>
    </row>
    <row r="316" spans="1:17">
      <c r="A316" t="s">
        <v>636</v>
      </c>
      <c r="B316" t="s">
        <v>637</v>
      </c>
      <c r="C316" s="3">
        <v>23.88</v>
      </c>
      <c r="D316" s="3">
        <v>0.86</v>
      </c>
      <c r="E316" s="3">
        <v>23.17</v>
      </c>
      <c r="F316" s="3">
        <v>48.59</v>
      </c>
      <c r="G316" s="3">
        <v>0</v>
      </c>
      <c r="H316" s="3">
        <v>1</v>
      </c>
      <c r="I316" s="3">
        <v>1</v>
      </c>
      <c r="J316" s="3">
        <v>9882.35</v>
      </c>
      <c r="K316" s="3">
        <v>77333.33</v>
      </c>
      <c r="L316" s="3">
        <v>26573.73</v>
      </c>
      <c r="M316" s="3">
        <v>0</v>
      </c>
      <c r="N316" s="3">
        <v>61.3</v>
      </c>
      <c r="O316" s="3">
        <v>86.7</v>
      </c>
      <c r="P316" s="3">
        <v>61.3</v>
      </c>
      <c r="Q316" s="3">
        <v>0</v>
      </c>
    </row>
    <row r="317" spans="1:17">
      <c r="A317" t="s">
        <v>638</v>
      </c>
      <c r="B317" t="s">
        <v>639</v>
      </c>
      <c r="C317" s="3">
        <v>23.85</v>
      </c>
      <c r="D317" s="3">
        <v>0.83</v>
      </c>
      <c r="E317" s="3">
        <v>26.61</v>
      </c>
      <c r="F317" s="3">
        <v>54.69</v>
      </c>
      <c r="G317" s="3">
        <v>0</v>
      </c>
      <c r="H317" s="3">
        <v>0</v>
      </c>
      <c r="I317" s="3">
        <v>0</v>
      </c>
      <c r="J317" s="3">
        <v>21876.11</v>
      </c>
      <c r="K317" s="3">
        <v>76188.84</v>
      </c>
      <c r="L317" s="3">
        <v>27695.65</v>
      </c>
      <c r="M317" s="3">
        <v>9.4</v>
      </c>
      <c r="N317" s="3">
        <v>61.9</v>
      </c>
      <c r="O317" s="3">
        <v>86.2</v>
      </c>
      <c r="P317" s="3">
        <v>61.9</v>
      </c>
      <c r="Q317" s="3">
        <v>9.4</v>
      </c>
    </row>
    <row r="318" spans="1:17">
      <c r="A318" t="s">
        <v>640</v>
      </c>
      <c r="B318" t="s">
        <v>641</v>
      </c>
      <c r="C318" s="3">
        <v>23.79</v>
      </c>
      <c r="D318" s="3">
        <v>0.79</v>
      </c>
      <c r="E318" s="3">
        <v>30.3</v>
      </c>
      <c r="F318" s="3">
        <v>54.99</v>
      </c>
      <c r="G318" s="3">
        <v>0</v>
      </c>
      <c r="H318" s="3">
        <v>0</v>
      </c>
      <c r="I318" s="3">
        <v>0</v>
      </c>
      <c r="J318" s="3">
        <v>33404.93</v>
      </c>
      <c r="K318" s="3">
        <v>79682.82000000001</v>
      </c>
      <c r="L318" s="3">
        <v>26463.19</v>
      </c>
      <c r="M318" s="3">
        <v>67</v>
      </c>
      <c r="N318" s="3">
        <v>60.2</v>
      </c>
      <c r="O318" s="3">
        <v>86.8</v>
      </c>
      <c r="P318" s="3">
        <v>60.2</v>
      </c>
      <c r="Q318" s="3">
        <v>67</v>
      </c>
    </row>
    <row r="319" spans="1:17">
      <c r="A319" t="s">
        <v>642</v>
      </c>
      <c r="B319" t="s">
        <v>643</v>
      </c>
      <c r="C319" s="3">
        <v>23.67</v>
      </c>
      <c r="D319" s="3">
        <v>0.76</v>
      </c>
      <c r="E319" s="3">
        <v>34.34</v>
      </c>
      <c r="F319" s="3">
        <v>53.57</v>
      </c>
      <c r="G319" s="3">
        <v>0</v>
      </c>
      <c r="H319" s="3">
        <v>0</v>
      </c>
      <c r="I319" s="3">
        <v>0</v>
      </c>
      <c r="J319" s="3">
        <v>44000</v>
      </c>
      <c r="K319" s="3">
        <v>82738.74000000001</v>
      </c>
      <c r="L319" s="3">
        <v>25914.89</v>
      </c>
      <c r="M319" s="3">
        <v>100</v>
      </c>
      <c r="N319" s="3">
        <v>58.6</v>
      </c>
      <c r="O319" s="3">
        <v>87</v>
      </c>
      <c r="P319" s="3">
        <v>58.6</v>
      </c>
      <c r="Q319" s="3">
        <v>100</v>
      </c>
    </row>
    <row r="320" spans="1:17">
      <c r="A320" t="s">
        <v>644</v>
      </c>
      <c r="B320" t="s">
        <v>645</v>
      </c>
      <c r="C320" s="3">
        <v>23.56</v>
      </c>
      <c r="D320" s="3">
        <v>0.78</v>
      </c>
      <c r="E320" s="3">
        <v>38.37</v>
      </c>
      <c r="F320" s="3">
        <v>50.66</v>
      </c>
      <c r="G320" s="3">
        <v>0</v>
      </c>
      <c r="H320" s="3">
        <v>0</v>
      </c>
      <c r="I320" s="3">
        <v>0</v>
      </c>
      <c r="J320" s="3">
        <v>40400.63</v>
      </c>
      <c r="K320" s="3">
        <v>84318.91</v>
      </c>
      <c r="L320" s="3">
        <v>23075.74</v>
      </c>
      <c r="M320" s="3">
        <v>100</v>
      </c>
      <c r="N320" s="3">
        <v>57.8</v>
      </c>
      <c r="O320" s="3">
        <v>88.5</v>
      </c>
      <c r="P320" s="3">
        <v>57.8</v>
      </c>
      <c r="Q320" s="3">
        <v>100</v>
      </c>
    </row>
    <row r="321" spans="1:17">
      <c r="A321" t="s">
        <v>646</v>
      </c>
      <c r="B321" t="s">
        <v>647</v>
      </c>
      <c r="C321" s="3">
        <v>23.35</v>
      </c>
      <c r="D321" s="3">
        <v>0.76</v>
      </c>
      <c r="E321" s="3">
        <v>42.69</v>
      </c>
      <c r="F321" s="3">
        <v>90.19</v>
      </c>
      <c r="G321" s="3">
        <v>0</v>
      </c>
      <c r="H321" s="3">
        <v>0</v>
      </c>
      <c r="I321" s="3">
        <v>0</v>
      </c>
      <c r="J321" s="3">
        <v>40703.3</v>
      </c>
      <c r="K321" s="3">
        <v>91368.42</v>
      </c>
      <c r="L321" s="3">
        <v>23075.74</v>
      </c>
      <c r="M321" s="3">
        <v>100</v>
      </c>
      <c r="N321" s="3">
        <v>54.3</v>
      </c>
      <c r="O321" s="3">
        <v>88.5</v>
      </c>
      <c r="P321" s="3">
        <v>54.3</v>
      </c>
      <c r="Q321" s="3">
        <v>100</v>
      </c>
    </row>
    <row r="322" spans="1:17">
      <c r="A322" t="s">
        <v>648</v>
      </c>
      <c r="B322" t="s">
        <v>649</v>
      </c>
      <c r="C322" s="3">
        <v>23.19</v>
      </c>
      <c r="D322" s="3">
        <v>0.8</v>
      </c>
      <c r="E322" s="3">
        <v>47.14</v>
      </c>
      <c r="F322" s="3">
        <v>75.97</v>
      </c>
      <c r="G322" s="3">
        <v>0</v>
      </c>
      <c r="H322" s="3">
        <v>0</v>
      </c>
      <c r="I322" s="3">
        <v>0</v>
      </c>
      <c r="J322" s="3">
        <v>32125.89</v>
      </c>
      <c r="K322" s="3">
        <v>91016.71000000001</v>
      </c>
      <c r="L322" s="3">
        <v>20903.87</v>
      </c>
      <c r="M322" s="3">
        <v>60.6</v>
      </c>
      <c r="N322" s="3">
        <v>54.5</v>
      </c>
      <c r="O322" s="3">
        <v>89.5</v>
      </c>
      <c r="P322" s="3">
        <v>54.5</v>
      </c>
      <c r="Q322" s="3">
        <v>60.6</v>
      </c>
    </row>
    <row r="323" spans="1:17">
      <c r="A323" t="s">
        <v>650</v>
      </c>
      <c r="B323" t="s">
        <v>651</v>
      </c>
      <c r="C323" s="3">
        <v>22.93</v>
      </c>
      <c r="D323" s="3">
        <v>0.8100000000000001</v>
      </c>
      <c r="E323" s="3">
        <v>51.81</v>
      </c>
      <c r="F323" s="3">
        <v>46.69</v>
      </c>
      <c r="G323" s="3">
        <v>0</v>
      </c>
      <c r="H323" s="3">
        <v>0</v>
      </c>
      <c r="I323" s="3">
        <v>0</v>
      </c>
      <c r="J323" s="3">
        <v>35530.46</v>
      </c>
      <c r="K323" s="3">
        <v>99949.37</v>
      </c>
      <c r="L323" s="3">
        <v>23075.74</v>
      </c>
      <c r="M323" s="3">
        <v>77.7</v>
      </c>
      <c r="N323" s="3">
        <v>50</v>
      </c>
      <c r="O323" s="3">
        <v>88.5</v>
      </c>
      <c r="P323" s="3">
        <v>50</v>
      </c>
      <c r="Q323" s="3">
        <v>77.7</v>
      </c>
    </row>
    <row r="324" spans="1:17">
      <c r="A324" t="s">
        <v>652</v>
      </c>
      <c r="B324" t="s">
        <v>653</v>
      </c>
      <c r="C324" s="3">
        <v>22.72</v>
      </c>
      <c r="D324" s="3">
        <v>0.85</v>
      </c>
      <c r="E324" s="3">
        <v>56.79</v>
      </c>
      <c r="F324" s="3">
        <v>52.21</v>
      </c>
      <c r="G324" s="3">
        <v>0</v>
      </c>
      <c r="H324" s="3">
        <v>0</v>
      </c>
      <c r="I324" s="3">
        <v>0</v>
      </c>
      <c r="J324" s="3">
        <v>27355.89</v>
      </c>
      <c r="K324" s="3">
        <v>100345.18</v>
      </c>
      <c r="L324" s="3">
        <v>20712.33</v>
      </c>
      <c r="M324" s="3">
        <v>36.8</v>
      </c>
      <c r="N324" s="3">
        <v>49.8</v>
      </c>
      <c r="O324" s="3">
        <v>89.59999999999999</v>
      </c>
      <c r="P324" s="3">
        <v>49.8</v>
      </c>
      <c r="Q324" s="3">
        <v>36.8</v>
      </c>
    </row>
    <row r="325" spans="1:17">
      <c r="A325" t="s">
        <v>654</v>
      </c>
      <c r="B325" t="s">
        <v>655</v>
      </c>
      <c r="C325" s="3">
        <v>22.48</v>
      </c>
      <c r="D325" s="3">
        <v>0.8</v>
      </c>
      <c r="E325" s="3">
        <v>61.96</v>
      </c>
      <c r="F325" s="3">
        <v>63.76</v>
      </c>
      <c r="G325" s="3">
        <v>0</v>
      </c>
      <c r="H325" s="3">
        <v>0</v>
      </c>
      <c r="I325" s="3">
        <v>0</v>
      </c>
      <c r="J325" s="3">
        <v>27923.71</v>
      </c>
      <c r="K325" s="3">
        <v>107829.79</v>
      </c>
      <c r="L325" s="3">
        <v>22671.78</v>
      </c>
      <c r="M325" s="3">
        <v>39.6</v>
      </c>
      <c r="N325" s="3">
        <v>46.1</v>
      </c>
      <c r="O325" s="3">
        <v>88.7</v>
      </c>
      <c r="P325" s="3">
        <v>46.1</v>
      </c>
      <c r="Q325" s="3">
        <v>39.6</v>
      </c>
    </row>
    <row r="326" spans="1:17">
      <c r="A326" t="s">
        <v>656</v>
      </c>
      <c r="B326" t="s">
        <v>657</v>
      </c>
      <c r="C326" s="3">
        <v>22.2</v>
      </c>
      <c r="D326" s="3">
        <v>0.85</v>
      </c>
      <c r="E326" s="3">
        <v>67.23</v>
      </c>
      <c r="F326" s="3">
        <v>65.36</v>
      </c>
      <c r="G326" s="3">
        <v>0</v>
      </c>
      <c r="H326" s="3">
        <v>0</v>
      </c>
      <c r="I326" s="3">
        <v>0</v>
      </c>
      <c r="J326" s="3">
        <v>22371.5</v>
      </c>
      <c r="K326" s="3">
        <v>110486.49</v>
      </c>
      <c r="L326" s="3">
        <v>21581.86</v>
      </c>
      <c r="M326" s="3">
        <v>11.9</v>
      </c>
      <c r="N326" s="3">
        <v>44.8</v>
      </c>
      <c r="O326" s="3">
        <v>89.2</v>
      </c>
      <c r="P326" s="3">
        <v>44.8</v>
      </c>
      <c r="Q326" s="3">
        <v>11.9</v>
      </c>
    </row>
    <row r="327" spans="1:17">
      <c r="A327" t="s">
        <v>658</v>
      </c>
      <c r="B327" t="s">
        <v>659</v>
      </c>
      <c r="C327" s="3">
        <v>21.96</v>
      </c>
      <c r="D327" s="3">
        <v>0.91</v>
      </c>
      <c r="E327" s="3">
        <v>72.45</v>
      </c>
      <c r="F327" s="3">
        <v>59.91</v>
      </c>
      <c r="G327" s="3">
        <v>0</v>
      </c>
      <c r="H327" s="3">
        <v>0</v>
      </c>
      <c r="I327" s="3">
        <v>0</v>
      </c>
      <c r="J327" s="3">
        <v>18666.67</v>
      </c>
      <c r="K327" s="3">
        <v>116067.04</v>
      </c>
      <c r="L327" s="3">
        <v>22471.34</v>
      </c>
      <c r="M327" s="3">
        <v>0</v>
      </c>
      <c r="N327" s="3">
        <v>42</v>
      </c>
      <c r="O327" s="3">
        <v>88.8</v>
      </c>
      <c r="P327" s="3">
        <v>42</v>
      </c>
      <c r="Q327" s="3">
        <v>0</v>
      </c>
    </row>
    <row r="328" spans="1:17">
      <c r="A328" t="s">
        <v>660</v>
      </c>
      <c r="B328" t="s">
        <v>661</v>
      </c>
      <c r="C328" s="3">
        <v>21.68</v>
      </c>
      <c r="D328" s="3">
        <v>0.91</v>
      </c>
      <c r="E328" s="3">
        <v>78.01000000000001</v>
      </c>
      <c r="F328" s="3">
        <v>72</v>
      </c>
      <c r="G328" s="3">
        <v>0</v>
      </c>
      <c r="H328" s="3">
        <v>0</v>
      </c>
      <c r="I328" s="3">
        <v>0</v>
      </c>
      <c r="J328" s="3">
        <v>17596.18</v>
      </c>
      <c r="K328" s="3">
        <v>122034.68</v>
      </c>
      <c r="L328" s="3">
        <v>24000</v>
      </c>
      <c r="M328" s="3">
        <v>0</v>
      </c>
      <c r="N328" s="3">
        <v>39</v>
      </c>
      <c r="O328" s="3">
        <v>88</v>
      </c>
      <c r="P328" s="3">
        <v>39</v>
      </c>
      <c r="Q328" s="3">
        <v>0</v>
      </c>
    </row>
    <row r="329" spans="1:17">
      <c r="A329" t="s">
        <v>662</v>
      </c>
      <c r="B329" t="s">
        <v>663</v>
      </c>
      <c r="C329" s="3">
        <v>21.42</v>
      </c>
      <c r="D329" s="3">
        <v>0.91</v>
      </c>
      <c r="E329" s="3">
        <v>83.63</v>
      </c>
      <c r="F329" s="3">
        <v>143.17</v>
      </c>
      <c r="G329" s="3">
        <v>0</v>
      </c>
      <c r="H329" s="3">
        <v>1</v>
      </c>
      <c r="I329" s="3">
        <v>1</v>
      </c>
      <c r="J329" s="3">
        <v>17159.14</v>
      </c>
      <c r="K329" s="3">
        <v>128431.14</v>
      </c>
      <c r="L329" s="3">
        <v>25481.48</v>
      </c>
      <c r="M329" s="3">
        <v>0</v>
      </c>
      <c r="N329" s="3">
        <v>35.8</v>
      </c>
      <c r="O329" s="3">
        <v>87.3</v>
      </c>
      <c r="P329" s="3">
        <v>35.8</v>
      </c>
      <c r="Q329" s="3">
        <v>0</v>
      </c>
    </row>
    <row r="330" spans="1:17">
      <c r="A330" t="s">
        <v>664</v>
      </c>
      <c r="B330" t="s">
        <v>665</v>
      </c>
      <c r="C330" s="3">
        <v>21.1</v>
      </c>
      <c r="D330" s="3">
        <v>0.96</v>
      </c>
      <c r="E330" s="3">
        <v>89.62</v>
      </c>
      <c r="F330" s="3">
        <v>80.29000000000001</v>
      </c>
      <c r="G330" s="3">
        <v>0</v>
      </c>
      <c r="H330" s="3">
        <v>1</v>
      </c>
      <c r="I330" s="3">
        <v>1</v>
      </c>
      <c r="J330" s="3">
        <v>17420.74</v>
      </c>
      <c r="K330" s="3">
        <v>134123.46</v>
      </c>
      <c r="L330" s="3">
        <v>27695.65</v>
      </c>
      <c r="M330" s="3">
        <v>0</v>
      </c>
      <c r="N330" s="3">
        <v>32.9</v>
      </c>
      <c r="O330" s="3">
        <v>86.2</v>
      </c>
      <c r="P330" s="3">
        <v>32.9</v>
      </c>
      <c r="Q330" s="3">
        <v>0</v>
      </c>
    </row>
    <row r="331" spans="1:17">
      <c r="A331" t="s">
        <v>666</v>
      </c>
      <c r="B331" t="s">
        <v>667</v>
      </c>
      <c r="C331" s="3">
        <v>20.82</v>
      </c>
      <c r="D331" s="3">
        <v>0.96</v>
      </c>
      <c r="E331" s="3">
        <v>95.76000000000001</v>
      </c>
      <c r="F331" s="3">
        <v>83.31999999999999</v>
      </c>
      <c r="G331" s="3">
        <v>0</v>
      </c>
      <c r="H331" s="3">
        <v>1</v>
      </c>
      <c r="I331" s="3">
        <v>1</v>
      </c>
      <c r="J331" s="3">
        <v>19862.07</v>
      </c>
      <c r="K331" s="3">
        <v>142070.74</v>
      </c>
      <c r="L331" s="3">
        <v>32378.77</v>
      </c>
      <c r="M331" s="3">
        <v>0</v>
      </c>
      <c r="N331" s="3">
        <v>29</v>
      </c>
      <c r="O331" s="3">
        <v>83.8</v>
      </c>
      <c r="P331" s="3">
        <v>29</v>
      </c>
      <c r="Q331" s="3">
        <v>0</v>
      </c>
    </row>
    <row r="332" spans="1:17">
      <c r="A332" t="s">
        <v>668</v>
      </c>
      <c r="B332" t="s">
        <v>669</v>
      </c>
      <c r="C332" s="3">
        <v>20.41</v>
      </c>
      <c r="D332" s="3">
        <v>0.98</v>
      </c>
      <c r="E332" s="3">
        <v>102.41</v>
      </c>
      <c r="F332" s="3">
        <v>77.51000000000001</v>
      </c>
      <c r="G332" s="3">
        <v>0</v>
      </c>
      <c r="H332" s="3">
        <v>0</v>
      </c>
      <c r="I332" s="3">
        <v>0</v>
      </c>
      <c r="J332" s="3">
        <v>20903.87</v>
      </c>
      <c r="K332" s="3">
        <v>148651.16</v>
      </c>
      <c r="L332" s="3">
        <v>35940.3</v>
      </c>
      <c r="M332" s="3">
        <v>4.5</v>
      </c>
      <c r="N332" s="3">
        <v>25.7</v>
      </c>
      <c r="O332" s="3">
        <v>82</v>
      </c>
      <c r="P332" s="3">
        <v>25.7</v>
      </c>
      <c r="Q332" s="3">
        <v>4.5</v>
      </c>
    </row>
    <row r="333" spans="1:17">
      <c r="A333" t="s">
        <v>670</v>
      </c>
      <c r="B333" t="s">
        <v>671</v>
      </c>
      <c r="C333" s="3">
        <v>19.94</v>
      </c>
      <c r="D333" s="3">
        <v>1.02</v>
      </c>
      <c r="E333" s="3">
        <v>109.07</v>
      </c>
      <c r="F333" s="3">
        <v>150.34</v>
      </c>
      <c r="G333" s="3">
        <v>0</v>
      </c>
      <c r="H333" s="3">
        <v>0</v>
      </c>
      <c r="I333" s="3">
        <v>0</v>
      </c>
      <c r="J333" s="3">
        <v>22172.59</v>
      </c>
      <c r="K333" s="3">
        <v>157888.89</v>
      </c>
      <c r="L333" s="3">
        <v>40703.3</v>
      </c>
      <c r="M333" s="3">
        <v>10.9</v>
      </c>
      <c r="N333" s="3">
        <v>21.1</v>
      </c>
      <c r="O333" s="3">
        <v>79.59999999999999</v>
      </c>
      <c r="P333" s="3">
        <v>21.1</v>
      </c>
      <c r="Q333" s="3">
        <v>10.9</v>
      </c>
    </row>
    <row r="334" spans="1:17">
      <c r="A334" t="s">
        <v>672</v>
      </c>
      <c r="B334" t="s">
        <v>673</v>
      </c>
      <c r="C334" s="3">
        <v>19.56</v>
      </c>
      <c r="D334" s="3">
        <v>1.07</v>
      </c>
      <c r="E334" s="3">
        <v>116.08</v>
      </c>
      <c r="F334" s="3">
        <v>78.58</v>
      </c>
      <c r="G334" s="3">
        <v>0</v>
      </c>
      <c r="H334" s="3">
        <v>0</v>
      </c>
      <c r="I334" s="3">
        <v>0</v>
      </c>
      <c r="J334" s="3">
        <v>23075.74</v>
      </c>
      <c r="K334" s="3">
        <v>164000</v>
      </c>
      <c r="L334" s="3">
        <v>44983.61</v>
      </c>
      <c r="M334" s="3">
        <v>15.4</v>
      </c>
      <c r="N334" s="3">
        <v>18</v>
      </c>
      <c r="O334" s="3">
        <v>77.5</v>
      </c>
      <c r="P334" s="3">
        <v>18</v>
      </c>
      <c r="Q334" s="3">
        <v>15.4</v>
      </c>
    </row>
    <row r="335" spans="1:17">
      <c r="A335" t="s">
        <v>674</v>
      </c>
      <c r="B335" t="s">
        <v>675</v>
      </c>
      <c r="C335" s="3">
        <v>19.22</v>
      </c>
      <c r="D335" s="3">
        <v>1.09</v>
      </c>
      <c r="E335" s="3">
        <v>123.29</v>
      </c>
      <c r="F335" s="3">
        <v>68.2</v>
      </c>
      <c r="G335" s="3">
        <v>0</v>
      </c>
      <c r="H335" s="3">
        <v>0</v>
      </c>
      <c r="I335" s="3">
        <v>0</v>
      </c>
      <c r="J335" s="3">
        <v>24208.33</v>
      </c>
      <c r="K335" s="3">
        <v>170470.59</v>
      </c>
      <c r="L335" s="3">
        <v>49660.38</v>
      </c>
      <c r="M335" s="3">
        <v>21</v>
      </c>
      <c r="N335" s="3">
        <v>14.8</v>
      </c>
      <c r="O335" s="3">
        <v>75.2</v>
      </c>
      <c r="P335" s="3">
        <v>14.8</v>
      </c>
      <c r="Q335" s="3">
        <v>21</v>
      </c>
    </row>
    <row r="336" spans="1:17">
      <c r="A336" t="s">
        <v>676</v>
      </c>
      <c r="B336" t="s">
        <v>677</v>
      </c>
      <c r="C336" s="3">
        <v>18.82</v>
      </c>
      <c r="D336" s="3">
        <v>1.11</v>
      </c>
      <c r="E336" s="3">
        <v>130.57</v>
      </c>
      <c r="F336" s="3">
        <v>101.51</v>
      </c>
      <c r="G336" s="3">
        <v>0</v>
      </c>
      <c r="H336" s="3">
        <v>0</v>
      </c>
      <c r="I336" s="3">
        <v>0</v>
      </c>
      <c r="J336" s="3">
        <v>25373.84</v>
      </c>
      <c r="K336" s="3">
        <v>178220.53</v>
      </c>
      <c r="L336" s="3">
        <v>54394.27</v>
      </c>
      <c r="M336" s="3">
        <v>26.9</v>
      </c>
      <c r="N336" s="3">
        <v>10.9</v>
      </c>
      <c r="O336" s="3">
        <v>72.8</v>
      </c>
      <c r="P336" s="3">
        <v>10.9</v>
      </c>
      <c r="Q336" s="3">
        <v>26.9</v>
      </c>
    </row>
    <row r="337" spans="1:17">
      <c r="A337" t="s">
        <v>678</v>
      </c>
      <c r="B337" t="s">
        <v>679</v>
      </c>
      <c r="C337" s="3">
        <v>18.4</v>
      </c>
      <c r="D337" s="3">
        <v>1.15</v>
      </c>
      <c r="E337" s="3">
        <v>137.89</v>
      </c>
      <c r="F337" s="3">
        <v>80.41</v>
      </c>
      <c r="G337" s="3">
        <v>0</v>
      </c>
      <c r="H337" s="3">
        <v>0</v>
      </c>
      <c r="I337" s="3">
        <v>0</v>
      </c>
      <c r="J337" s="3">
        <v>28615.38</v>
      </c>
      <c r="K337" s="3">
        <v>180015.33</v>
      </c>
      <c r="L337" s="3">
        <v>62007.66</v>
      </c>
      <c r="M337" s="3">
        <v>43.1</v>
      </c>
      <c r="N337" s="3">
        <v>10</v>
      </c>
      <c r="O337" s="3">
        <v>69</v>
      </c>
      <c r="P337" s="3">
        <v>10</v>
      </c>
      <c r="Q337" s="3">
        <v>43.1</v>
      </c>
    </row>
    <row r="338" spans="1:17">
      <c r="A338" t="s">
        <v>680</v>
      </c>
      <c r="B338" t="s">
        <v>681</v>
      </c>
      <c r="C338" s="3">
        <v>17.93</v>
      </c>
      <c r="D338" s="3">
        <v>1.18</v>
      </c>
      <c r="E338" s="3">
        <v>145.44</v>
      </c>
      <c r="F338" s="3">
        <v>81.36</v>
      </c>
      <c r="G338" s="3">
        <v>0</v>
      </c>
      <c r="H338" s="3">
        <v>0</v>
      </c>
      <c r="I338" s="3">
        <v>0</v>
      </c>
      <c r="J338" s="3">
        <v>31500</v>
      </c>
      <c r="K338" s="3">
        <v>185568.63</v>
      </c>
      <c r="L338" s="3">
        <v>68444.44</v>
      </c>
      <c r="M338" s="3">
        <v>57.5</v>
      </c>
      <c r="N338" s="3">
        <v>7.2</v>
      </c>
      <c r="O338" s="3">
        <v>65.8</v>
      </c>
      <c r="P338" s="3">
        <v>7.2</v>
      </c>
      <c r="Q338" s="3">
        <v>57.5</v>
      </c>
    </row>
    <row r="339" spans="1:17">
      <c r="A339" t="s">
        <v>682</v>
      </c>
      <c r="B339" t="s">
        <v>683</v>
      </c>
      <c r="C339" s="3">
        <v>17.5</v>
      </c>
      <c r="D339" s="3">
        <v>1.21</v>
      </c>
      <c r="E339" s="3">
        <v>153.27</v>
      </c>
      <c r="F339" s="3">
        <v>75.26000000000001</v>
      </c>
      <c r="G339" s="3">
        <v>0</v>
      </c>
      <c r="H339" s="3">
        <v>0</v>
      </c>
      <c r="I339" s="3">
        <v>0</v>
      </c>
      <c r="J339" s="3">
        <v>32252.15</v>
      </c>
      <c r="K339" s="3">
        <v>193392.71</v>
      </c>
      <c r="L339" s="3">
        <v>73140.46000000001</v>
      </c>
      <c r="M339" s="3">
        <v>61.3</v>
      </c>
      <c r="N339" s="3">
        <v>3.3</v>
      </c>
      <c r="O339" s="3">
        <v>63.4</v>
      </c>
      <c r="P339" s="3">
        <v>3.3</v>
      </c>
      <c r="Q339" s="3">
        <v>61.3</v>
      </c>
    </row>
    <row r="340" spans="1:17">
      <c r="A340" t="s">
        <v>684</v>
      </c>
      <c r="B340" t="s">
        <v>685</v>
      </c>
      <c r="C340" s="3">
        <v>17.08</v>
      </c>
      <c r="D340" s="3">
        <v>1.24</v>
      </c>
      <c r="E340" s="3">
        <v>161.14</v>
      </c>
      <c r="F340" s="3">
        <v>78.22</v>
      </c>
      <c r="G340" s="3">
        <v>0</v>
      </c>
      <c r="H340" s="3">
        <v>0</v>
      </c>
      <c r="I340" s="3">
        <v>0</v>
      </c>
      <c r="J340" s="3">
        <v>33017.34</v>
      </c>
      <c r="K340" s="3">
        <v>195428.57</v>
      </c>
      <c r="L340" s="3">
        <v>76758.62</v>
      </c>
      <c r="M340" s="3">
        <v>65.09999999999999</v>
      </c>
      <c r="N340" s="3">
        <v>2.3</v>
      </c>
      <c r="O340" s="3">
        <v>61.6</v>
      </c>
      <c r="P340" s="3">
        <v>2.3</v>
      </c>
      <c r="Q340" s="3">
        <v>65.09999999999999</v>
      </c>
    </row>
    <row r="341" spans="1:17">
      <c r="A341" t="s">
        <v>686</v>
      </c>
      <c r="B341" t="s">
        <v>687</v>
      </c>
      <c r="C341" s="3">
        <v>16.71</v>
      </c>
      <c r="D341" s="3">
        <v>1.29</v>
      </c>
      <c r="E341" s="3">
        <v>169.2</v>
      </c>
      <c r="F341" s="3">
        <v>101.33</v>
      </c>
      <c r="G341" s="3">
        <v>0</v>
      </c>
      <c r="H341" s="3">
        <v>0</v>
      </c>
      <c r="I341" s="3">
        <v>0</v>
      </c>
      <c r="J341" s="3">
        <v>31874.47</v>
      </c>
      <c r="K341" s="3">
        <v>205016.95</v>
      </c>
      <c r="L341" s="3">
        <v>79384.62</v>
      </c>
      <c r="M341" s="3">
        <v>59.4</v>
      </c>
      <c r="N341" s="3">
        <v>0</v>
      </c>
      <c r="O341" s="3">
        <v>60.3</v>
      </c>
      <c r="P341" s="3">
        <v>0</v>
      </c>
      <c r="Q341" s="3">
        <v>59.4</v>
      </c>
    </row>
    <row r="342" spans="1:17">
      <c r="A342" t="s">
        <v>688</v>
      </c>
      <c r="B342" t="s">
        <v>689</v>
      </c>
      <c r="C342" s="3">
        <v>16.16</v>
      </c>
      <c r="D342" s="3">
        <v>1.36</v>
      </c>
      <c r="E342" s="3">
        <v>177.32</v>
      </c>
      <c r="F342" s="3">
        <v>72.53</v>
      </c>
      <c r="G342" s="3">
        <v>0</v>
      </c>
      <c r="H342" s="3">
        <v>0</v>
      </c>
      <c r="I342" s="3">
        <v>0</v>
      </c>
      <c r="J342" s="3">
        <v>36353.82</v>
      </c>
      <c r="K342" s="3">
        <v>205016.95</v>
      </c>
      <c r="L342" s="3">
        <v>90318.28999999999</v>
      </c>
      <c r="M342" s="3">
        <v>81.8</v>
      </c>
      <c r="N342" s="3">
        <v>0</v>
      </c>
      <c r="O342" s="3">
        <v>54.8</v>
      </c>
      <c r="P342" s="3">
        <v>0</v>
      </c>
      <c r="Q342" s="3">
        <v>81.8</v>
      </c>
    </row>
    <row r="343" spans="1:17">
      <c r="A343" t="s">
        <v>690</v>
      </c>
      <c r="B343" t="s">
        <v>691</v>
      </c>
      <c r="C343" s="3">
        <v>15.63</v>
      </c>
      <c r="D343" s="3">
        <v>1.39</v>
      </c>
      <c r="E343" s="3">
        <v>185.72</v>
      </c>
      <c r="F343" s="3">
        <v>87.17</v>
      </c>
      <c r="G343" s="3">
        <v>0</v>
      </c>
      <c r="H343" s="3">
        <v>0</v>
      </c>
      <c r="I343" s="3">
        <v>0</v>
      </c>
      <c r="J343" s="3">
        <v>36631.58</v>
      </c>
      <c r="K343" s="3">
        <v>211826.09</v>
      </c>
      <c r="L343" s="3">
        <v>95724.14</v>
      </c>
      <c r="M343" s="3">
        <v>83.2</v>
      </c>
      <c r="N343" s="3">
        <v>0</v>
      </c>
      <c r="O343" s="3">
        <v>52.1</v>
      </c>
      <c r="P343" s="3">
        <v>0</v>
      </c>
      <c r="Q343" s="3">
        <v>83.2</v>
      </c>
    </row>
    <row r="344" spans="1:17">
      <c r="A344" t="s">
        <v>692</v>
      </c>
      <c r="B344" t="s">
        <v>693</v>
      </c>
      <c r="C344" s="3">
        <v>15.18</v>
      </c>
      <c r="D344" s="3">
        <v>1.42</v>
      </c>
      <c r="E344" s="3">
        <v>194.24</v>
      </c>
      <c r="F344" s="3">
        <v>77.92</v>
      </c>
      <c r="G344" s="3">
        <v>0</v>
      </c>
      <c r="H344" s="3">
        <v>0</v>
      </c>
      <c r="I344" s="3">
        <v>0</v>
      </c>
      <c r="J344" s="3">
        <v>36077.73</v>
      </c>
      <c r="K344" s="3">
        <v>217777.78</v>
      </c>
      <c r="L344" s="3">
        <v>100345.18</v>
      </c>
      <c r="M344" s="3">
        <v>80.40000000000001</v>
      </c>
      <c r="N344" s="3">
        <v>0</v>
      </c>
      <c r="O344" s="3">
        <v>49.8</v>
      </c>
      <c r="P344" s="3">
        <v>0</v>
      </c>
      <c r="Q344" s="3">
        <v>80.40000000000001</v>
      </c>
    </row>
    <row r="345" spans="1:17">
      <c r="A345" t="s">
        <v>694</v>
      </c>
      <c r="B345" t="s">
        <v>695</v>
      </c>
      <c r="C345" s="3">
        <v>14.76</v>
      </c>
      <c r="D345" s="3">
        <v>1.47</v>
      </c>
      <c r="E345" s="3">
        <v>202.85</v>
      </c>
      <c r="F345" s="3">
        <v>90.43000000000001</v>
      </c>
      <c r="G345" s="3">
        <v>0</v>
      </c>
      <c r="H345" s="3">
        <v>0</v>
      </c>
      <c r="I345" s="3">
        <v>0</v>
      </c>
      <c r="J345" s="3">
        <v>38478.53</v>
      </c>
      <c r="K345" s="3">
        <v>221477.48</v>
      </c>
      <c r="L345" s="3">
        <v>111391.3</v>
      </c>
      <c r="M345" s="3">
        <v>92.40000000000001</v>
      </c>
      <c r="N345" s="3">
        <v>0</v>
      </c>
      <c r="O345" s="3">
        <v>44.3</v>
      </c>
      <c r="P345" s="3">
        <v>0</v>
      </c>
      <c r="Q345" s="3">
        <v>92.40000000000001</v>
      </c>
    </row>
    <row r="346" spans="1:17">
      <c r="A346" t="s">
        <v>696</v>
      </c>
      <c r="B346" t="s">
        <v>697</v>
      </c>
      <c r="C346" s="3">
        <v>14.31</v>
      </c>
      <c r="D346" s="3">
        <v>1.5</v>
      </c>
      <c r="E346" s="3">
        <v>211.76</v>
      </c>
      <c r="F346" s="3">
        <v>68.44</v>
      </c>
      <c r="G346" s="3">
        <v>0</v>
      </c>
      <c r="H346" s="3">
        <v>0</v>
      </c>
      <c r="I346" s="3">
        <v>0</v>
      </c>
      <c r="J346" s="3">
        <v>39800.93</v>
      </c>
      <c r="K346" s="3">
        <v>225278.54</v>
      </c>
      <c r="L346" s="3">
        <v>118504.25</v>
      </c>
      <c r="M346" s="3">
        <v>99</v>
      </c>
      <c r="N346" s="3">
        <v>0</v>
      </c>
      <c r="O346" s="3">
        <v>40.7</v>
      </c>
      <c r="P346" s="3">
        <v>0</v>
      </c>
      <c r="Q346" s="3">
        <v>99</v>
      </c>
    </row>
    <row r="347" spans="1:17">
      <c r="A347" t="s">
        <v>698</v>
      </c>
      <c r="B347" t="s">
        <v>699</v>
      </c>
      <c r="C347" s="3">
        <v>13.85</v>
      </c>
      <c r="D347" s="3">
        <v>1.63</v>
      </c>
      <c r="E347" s="3">
        <v>220.7</v>
      </c>
      <c r="F347" s="3">
        <v>132.91</v>
      </c>
      <c r="G347" s="3">
        <v>0</v>
      </c>
      <c r="H347" s="3">
        <v>0</v>
      </c>
      <c r="I347" s="3">
        <v>0</v>
      </c>
      <c r="J347" s="3">
        <v>41007.87</v>
      </c>
      <c r="K347" s="3">
        <v>227870.97</v>
      </c>
      <c r="L347" s="3">
        <v>128431.14</v>
      </c>
      <c r="M347" s="3">
        <v>100</v>
      </c>
      <c r="N347" s="3">
        <v>0</v>
      </c>
      <c r="O347" s="3">
        <v>35.8</v>
      </c>
      <c r="P347" s="3">
        <v>0</v>
      </c>
      <c r="Q347" s="3">
        <v>100</v>
      </c>
    </row>
    <row r="348" spans="1:17">
      <c r="A348" t="s">
        <v>700</v>
      </c>
      <c r="B348" t="s">
        <v>701</v>
      </c>
      <c r="C348" s="3">
        <v>13.39</v>
      </c>
      <c r="D348" s="3">
        <v>1.62</v>
      </c>
      <c r="E348" s="3">
        <v>229.76</v>
      </c>
      <c r="F348" s="3">
        <v>72.65000000000001</v>
      </c>
      <c r="G348" s="3">
        <v>0</v>
      </c>
      <c r="H348" s="3">
        <v>0</v>
      </c>
      <c r="I348" s="3">
        <v>0</v>
      </c>
      <c r="J348" s="3">
        <v>41314.38</v>
      </c>
      <c r="K348" s="3">
        <v>231850.47</v>
      </c>
      <c r="L348" s="3">
        <v>137710.69</v>
      </c>
      <c r="M348" s="3">
        <v>100</v>
      </c>
      <c r="N348" s="3">
        <v>0</v>
      </c>
      <c r="O348" s="3">
        <v>31.1</v>
      </c>
      <c r="P348" s="3">
        <v>0</v>
      </c>
      <c r="Q348" s="3">
        <v>100</v>
      </c>
    </row>
    <row r="349" spans="1:17">
      <c r="A349" t="s">
        <v>702</v>
      </c>
      <c r="B349" t="s">
        <v>703</v>
      </c>
      <c r="C349" s="3">
        <v>12.9</v>
      </c>
      <c r="D349" s="3">
        <v>1.69</v>
      </c>
      <c r="E349" s="3">
        <v>239.04</v>
      </c>
      <c r="F349" s="3">
        <v>79.88</v>
      </c>
      <c r="G349" s="3">
        <v>0</v>
      </c>
      <c r="H349" s="3">
        <v>0</v>
      </c>
      <c r="I349" s="3">
        <v>0</v>
      </c>
      <c r="J349" s="3">
        <v>40250</v>
      </c>
      <c r="K349" s="3">
        <v>243029.13</v>
      </c>
      <c r="L349" s="3">
        <v>145307.19</v>
      </c>
      <c r="M349" s="3">
        <v>100</v>
      </c>
      <c r="N349" s="3">
        <v>0</v>
      </c>
      <c r="O349" s="3">
        <v>27.3</v>
      </c>
      <c r="P349" s="3">
        <v>0</v>
      </c>
      <c r="Q349" s="3">
        <v>100</v>
      </c>
    </row>
    <row r="350" spans="1:17">
      <c r="A350" t="s">
        <v>704</v>
      </c>
      <c r="B350" t="s">
        <v>705</v>
      </c>
      <c r="C350" s="3">
        <v>12.61</v>
      </c>
      <c r="D350" s="3">
        <v>1.77</v>
      </c>
      <c r="E350" s="3">
        <v>248.28</v>
      </c>
      <c r="F350" s="3">
        <v>72.70999999999999</v>
      </c>
      <c r="G350" s="3">
        <v>0</v>
      </c>
      <c r="H350" s="3">
        <v>0</v>
      </c>
      <c r="I350" s="3">
        <v>1</v>
      </c>
      <c r="J350" s="3">
        <v>41622.82</v>
      </c>
      <c r="K350" s="3">
        <v>245960.78</v>
      </c>
      <c r="L350" s="3">
        <v>156413.79</v>
      </c>
      <c r="M350" s="3">
        <v>100</v>
      </c>
      <c r="N350" s="3">
        <v>0</v>
      </c>
      <c r="O350" s="3">
        <v>21.8</v>
      </c>
      <c r="P350" s="3">
        <v>0</v>
      </c>
      <c r="Q350" s="3">
        <v>100</v>
      </c>
    </row>
    <row r="351" spans="1:17">
      <c r="A351" t="s">
        <v>706</v>
      </c>
      <c r="B351" t="s">
        <v>707</v>
      </c>
      <c r="C351" s="3">
        <v>12.14</v>
      </c>
      <c r="D351" s="3">
        <v>1.76</v>
      </c>
      <c r="E351" s="3">
        <v>257.47</v>
      </c>
      <c r="F351" s="3">
        <v>164.68</v>
      </c>
      <c r="G351" s="3">
        <v>0</v>
      </c>
      <c r="H351" s="3">
        <v>0</v>
      </c>
      <c r="I351" s="3">
        <v>1</v>
      </c>
      <c r="J351" s="3">
        <v>41007.87</v>
      </c>
      <c r="K351" s="3">
        <v>252000</v>
      </c>
      <c r="L351" s="3">
        <v>162439.72</v>
      </c>
      <c r="M351" s="3">
        <v>100</v>
      </c>
      <c r="N351" s="3">
        <v>0</v>
      </c>
      <c r="O351" s="3">
        <v>18.8</v>
      </c>
      <c r="P351" s="3">
        <v>0</v>
      </c>
      <c r="Q351" s="3">
        <v>100</v>
      </c>
    </row>
    <row r="352" spans="1:17">
      <c r="A352" t="s">
        <v>708</v>
      </c>
      <c r="B352" t="s">
        <v>709</v>
      </c>
      <c r="C352" s="3">
        <v>11.76</v>
      </c>
      <c r="D352" s="3">
        <v>1.84</v>
      </c>
      <c r="E352" s="3">
        <v>267.23</v>
      </c>
      <c r="F352" s="3">
        <v>77.51000000000001</v>
      </c>
      <c r="G352" s="3">
        <v>0</v>
      </c>
      <c r="H352" s="3">
        <v>0</v>
      </c>
      <c r="I352" s="3">
        <v>1</v>
      </c>
      <c r="J352" s="3">
        <v>41314.38</v>
      </c>
      <c r="K352" s="3">
        <v>258285.71</v>
      </c>
      <c r="L352" s="3">
        <v>172996.28</v>
      </c>
      <c r="M352" s="3">
        <v>100</v>
      </c>
      <c r="N352" s="3">
        <v>0</v>
      </c>
      <c r="O352" s="3">
        <v>13.5</v>
      </c>
      <c r="P352" s="3">
        <v>0</v>
      </c>
      <c r="Q352" s="3">
        <v>100</v>
      </c>
    </row>
    <row r="353" spans="1:17">
      <c r="A353" t="s">
        <v>710</v>
      </c>
      <c r="B353" t="s">
        <v>711</v>
      </c>
      <c r="C353" s="3">
        <v>11.42</v>
      </c>
      <c r="D353" s="3">
        <v>1.89</v>
      </c>
      <c r="E353" s="3">
        <v>276.8</v>
      </c>
      <c r="F353" s="3">
        <v>80.53</v>
      </c>
      <c r="G353" s="3">
        <v>0</v>
      </c>
      <c r="H353" s="3">
        <v>1</v>
      </c>
      <c r="I353" s="3">
        <v>2</v>
      </c>
      <c r="J353" s="3">
        <v>42402.56</v>
      </c>
      <c r="K353" s="3">
        <v>263170.98</v>
      </c>
      <c r="L353" s="3">
        <v>185568.63</v>
      </c>
      <c r="M353" s="3">
        <v>100</v>
      </c>
      <c r="N353" s="3">
        <v>0</v>
      </c>
      <c r="O353" s="3">
        <v>7.2</v>
      </c>
      <c r="P353" s="3">
        <v>0</v>
      </c>
      <c r="Q353" s="3">
        <v>100</v>
      </c>
    </row>
    <row r="354" spans="1:17">
      <c r="A354" t="s">
        <v>712</v>
      </c>
      <c r="B354" t="s">
        <v>713</v>
      </c>
      <c r="C354" s="3">
        <v>11.08</v>
      </c>
      <c r="D354" s="3">
        <v>1.97</v>
      </c>
      <c r="E354" s="3">
        <v>286.48</v>
      </c>
      <c r="F354" s="3">
        <v>78.16</v>
      </c>
      <c r="G354" s="3">
        <v>0</v>
      </c>
      <c r="H354" s="3">
        <v>1</v>
      </c>
      <c r="I354" s="3">
        <v>2</v>
      </c>
      <c r="J354" s="3">
        <v>40551.72</v>
      </c>
      <c r="K354" s="3">
        <v>268210.53</v>
      </c>
      <c r="L354" s="3">
        <v>189418.33</v>
      </c>
      <c r="M354" s="3">
        <v>100</v>
      </c>
      <c r="N354" s="3">
        <v>0</v>
      </c>
      <c r="O354" s="3">
        <v>5.3</v>
      </c>
      <c r="P354" s="3">
        <v>0</v>
      </c>
      <c r="Q354" s="3">
        <v>100</v>
      </c>
    </row>
    <row r="355" spans="1:17">
      <c r="A355" t="s">
        <v>714</v>
      </c>
      <c r="B355" t="s">
        <v>715</v>
      </c>
      <c r="C355" s="3">
        <v>10.78</v>
      </c>
      <c r="D355" s="3">
        <v>2.07</v>
      </c>
      <c r="E355" s="3">
        <v>296.68</v>
      </c>
      <c r="F355" s="3">
        <v>81.72</v>
      </c>
      <c r="G355" s="3">
        <v>0</v>
      </c>
      <c r="H355" s="3">
        <v>1</v>
      </c>
      <c r="I355" s="3">
        <v>2</v>
      </c>
      <c r="J355" s="3">
        <v>40703.3</v>
      </c>
      <c r="K355" s="3">
        <v>276972.97</v>
      </c>
      <c r="L355" s="3">
        <v>201740.59</v>
      </c>
      <c r="M355" s="3">
        <v>100</v>
      </c>
      <c r="N355" s="3">
        <v>0</v>
      </c>
      <c r="O355" s="3">
        <v>0</v>
      </c>
      <c r="P355" s="3">
        <v>0</v>
      </c>
      <c r="Q355" s="3">
        <v>100</v>
      </c>
    </row>
    <row r="356" spans="1:17">
      <c r="A356" t="s">
        <v>716</v>
      </c>
      <c r="B356" t="s">
        <v>717</v>
      </c>
      <c r="C356" s="3">
        <v>10.5</v>
      </c>
      <c r="D356" s="3">
        <v>2.13</v>
      </c>
      <c r="E356" s="3">
        <v>307.12</v>
      </c>
      <c r="F356" s="3">
        <v>78.45999999999999</v>
      </c>
      <c r="G356" s="3">
        <v>0</v>
      </c>
      <c r="H356" s="3">
        <v>0</v>
      </c>
      <c r="I356" s="3">
        <v>1</v>
      </c>
      <c r="J356" s="3">
        <v>41007.87</v>
      </c>
      <c r="K356" s="3">
        <v>282461.54</v>
      </c>
      <c r="L356" s="3">
        <v>210666.67</v>
      </c>
      <c r="M356" s="3">
        <v>100</v>
      </c>
      <c r="N356" s="3">
        <v>0</v>
      </c>
      <c r="O356" s="3">
        <v>0</v>
      </c>
      <c r="P356" s="3">
        <v>0</v>
      </c>
      <c r="Q356" s="3">
        <v>100</v>
      </c>
    </row>
    <row r="357" spans="1:17">
      <c r="A357" t="s">
        <v>718</v>
      </c>
      <c r="B357" t="s">
        <v>719</v>
      </c>
      <c r="C357" s="3">
        <v>10.17</v>
      </c>
      <c r="D357" s="3">
        <v>2.18</v>
      </c>
      <c r="E357" s="3">
        <v>317.16</v>
      </c>
      <c r="F357" s="3">
        <v>82.55</v>
      </c>
      <c r="G357" s="3">
        <v>0</v>
      </c>
      <c r="H357" s="3">
        <v>0</v>
      </c>
      <c r="I357" s="3">
        <v>1</v>
      </c>
      <c r="J357" s="3">
        <v>40703.3</v>
      </c>
      <c r="K357" s="3">
        <v>284331.49</v>
      </c>
      <c r="L357" s="3">
        <v>215365.64</v>
      </c>
      <c r="M357" s="3">
        <v>100</v>
      </c>
      <c r="N357" s="3">
        <v>0</v>
      </c>
      <c r="O357" s="3">
        <v>0</v>
      </c>
      <c r="P357" s="3">
        <v>0</v>
      </c>
      <c r="Q357" s="3">
        <v>100</v>
      </c>
    </row>
    <row r="358" spans="1:17">
      <c r="A358" t="s">
        <v>720</v>
      </c>
      <c r="B358" t="s">
        <v>721</v>
      </c>
      <c r="C358" s="3">
        <v>9.789999999999999</v>
      </c>
      <c r="D358" s="3">
        <v>2.33</v>
      </c>
      <c r="E358" s="3">
        <v>327.63</v>
      </c>
      <c r="F358" s="3">
        <v>69.15000000000001</v>
      </c>
      <c r="G358" s="3">
        <v>0</v>
      </c>
      <c r="H358" s="3">
        <v>0</v>
      </c>
      <c r="I358" s="3">
        <v>1</v>
      </c>
      <c r="J358" s="3">
        <v>41314.38</v>
      </c>
      <c r="K358" s="3">
        <v>290067.42</v>
      </c>
      <c r="L358" s="3">
        <v>227870.97</v>
      </c>
      <c r="M358" s="3">
        <v>100</v>
      </c>
      <c r="N358" s="3">
        <v>0</v>
      </c>
      <c r="O358" s="3">
        <v>0</v>
      </c>
      <c r="P358" s="3">
        <v>0</v>
      </c>
      <c r="Q358" s="3">
        <v>100</v>
      </c>
    </row>
    <row r="359" spans="1:17">
      <c r="A359" t="s">
        <v>722</v>
      </c>
      <c r="B359" t="s">
        <v>723</v>
      </c>
      <c r="C359" s="3">
        <v>9.52</v>
      </c>
      <c r="D359" s="3">
        <v>2.44</v>
      </c>
      <c r="E359" s="3">
        <v>337.85</v>
      </c>
      <c r="F359" s="3">
        <v>142.51</v>
      </c>
      <c r="G359" s="3">
        <v>0</v>
      </c>
      <c r="H359" s="3">
        <v>0</v>
      </c>
      <c r="I359" s="3">
        <v>1</v>
      </c>
      <c r="J359" s="3">
        <v>42089.17</v>
      </c>
      <c r="K359" s="3">
        <v>294000</v>
      </c>
      <c r="L359" s="3">
        <v>237333.33</v>
      </c>
      <c r="M359" s="3">
        <v>100</v>
      </c>
      <c r="N359" s="3">
        <v>0</v>
      </c>
      <c r="O359" s="3">
        <v>0</v>
      </c>
      <c r="P359" s="3">
        <v>0</v>
      </c>
      <c r="Q359" s="3">
        <v>100</v>
      </c>
    </row>
    <row r="360" spans="1:17">
      <c r="A360" t="s">
        <v>724</v>
      </c>
      <c r="B360" t="s">
        <v>725</v>
      </c>
      <c r="C360" s="3">
        <v>9.26</v>
      </c>
      <c r="D360" s="3">
        <v>2.53</v>
      </c>
      <c r="E360" s="3">
        <v>348.44</v>
      </c>
      <c r="F360" s="3">
        <v>76.97</v>
      </c>
      <c r="G360" s="3">
        <v>0</v>
      </c>
      <c r="H360" s="3">
        <v>0</v>
      </c>
      <c r="I360" s="3">
        <v>2</v>
      </c>
      <c r="J360" s="3">
        <v>41933.23</v>
      </c>
      <c r="K360" s="3">
        <v>298022.99</v>
      </c>
      <c r="L360" s="3">
        <v>243029.13</v>
      </c>
      <c r="M360" s="3">
        <v>100</v>
      </c>
      <c r="N360" s="3">
        <v>0</v>
      </c>
      <c r="O360" s="3">
        <v>0</v>
      </c>
      <c r="P360" s="3">
        <v>0</v>
      </c>
      <c r="Q360" s="3">
        <v>100</v>
      </c>
    </row>
    <row r="361" spans="1:17">
      <c r="A361" t="s">
        <v>726</v>
      </c>
      <c r="B361" t="s">
        <v>727</v>
      </c>
      <c r="C361" s="3">
        <v>9.01</v>
      </c>
      <c r="D361" s="3">
        <v>2.68</v>
      </c>
      <c r="E361" s="3">
        <v>358.6</v>
      </c>
      <c r="F361" s="3">
        <v>91.43000000000001</v>
      </c>
      <c r="G361" s="3">
        <v>0</v>
      </c>
      <c r="H361" s="3">
        <v>0</v>
      </c>
      <c r="I361" s="3">
        <v>2</v>
      </c>
      <c r="J361" s="3">
        <v>43194.85</v>
      </c>
      <c r="K361" s="3">
        <v>308497.04</v>
      </c>
      <c r="L361" s="3">
        <v>258285.71</v>
      </c>
      <c r="M361" s="3">
        <v>100</v>
      </c>
      <c r="N361" s="3">
        <v>0</v>
      </c>
      <c r="O361" s="3">
        <v>0</v>
      </c>
      <c r="P361" s="3">
        <v>0</v>
      </c>
      <c r="Q361" s="3">
        <v>100</v>
      </c>
    </row>
    <row r="362" spans="1:17">
      <c r="A362" t="s">
        <v>728</v>
      </c>
      <c r="B362" t="s">
        <v>729</v>
      </c>
      <c r="C362" s="3">
        <v>8.93</v>
      </c>
      <c r="D362" s="3">
        <v>2.77</v>
      </c>
      <c r="E362" s="3">
        <v>369.38</v>
      </c>
      <c r="F362" s="3">
        <v>106.96</v>
      </c>
      <c r="G362" s="3">
        <v>0</v>
      </c>
      <c r="H362" s="3">
        <v>1</v>
      </c>
      <c r="I362" s="3">
        <v>2</v>
      </c>
      <c r="J362" s="3">
        <v>41468.35</v>
      </c>
      <c r="K362" s="3">
        <v>310666.67</v>
      </c>
      <c r="L362" s="3">
        <v>255111.11</v>
      </c>
      <c r="M362" s="3">
        <v>100</v>
      </c>
      <c r="N362" s="3">
        <v>0</v>
      </c>
      <c r="O362" s="3">
        <v>0</v>
      </c>
      <c r="P362" s="3">
        <v>0</v>
      </c>
      <c r="Q362" s="3">
        <v>100</v>
      </c>
    </row>
    <row r="363" spans="1:17">
      <c r="A363" t="s">
        <v>730</v>
      </c>
      <c r="B363" t="s">
        <v>731</v>
      </c>
      <c r="C363" s="3">
        <v>8.74</v>
      </c>
      <c r="D363" s="3">
        <v>2.86</v>
      </c>
      <c r="E363" s="3">
        <v>380.23</v>
      </c>
      <c r="F363" s="3">
        <v>75.84999999999999</v>
      </c>
      <c r="G363" s="3">
        <v>0</v>
      </c>
      <c r="H363" s="3">
        <v>0</v>
      </c>
      <c r="I363" s="3">
        <v>1</v>
      </c>
      <c r="J363" s="3">
        <v>40855.35</v>
      </c>
      <c r="K363" s="3">
        <v>315084.34</v>
      </c>
      <c r="L363" s="3">
        <v>261525.77</v>
      </c>
      <c r="M363" s="3">
        <v>100</v>
      </c>
      <c r="N363" s="3">
        <v>0</v>
      </c>
      <c r="O363" s="3">
        <v>0</v>
      </c>
      <c r="P363" s="3">
        <v>0</v>
      </c>
      <c r="Q363" s="3">
        <v>100</v>
      </c>
    </row>
    <row r="364" spans="1:17">
      <c r="A364" t="s">
        <v>732</v>
      </c>
      <c r="B364" t="s">
        <v>733</v>
      </c>
      <c r="C364" s="3">
        <v>8.630000000000001</v>
      </c>
      <c r="D364" s="3">
        <v>2.91</v>
      </c>
      <c r="E364" s="3">
        <v>390.97</v>
      </c>
      <c r="F364" s="3">
        <v>90.31</v>
      </c>
      <c r="G364" s="3">
        <v>0</v>
      </c>
      <c r="H364" s="3">
        <v>0</v>
      </c>
      <c r="I364" s="3">
        <v>1</v>
      </c>
      <c r="J364" s="3">
        <v>41314.38</v>
      </c>
      <c r="K364" s="3">
        <v>319609.76</v>
      </c>
      <c r="L364" s="3">
        <v>269925.93</v>
      </c>
      <c r="M364" s="3">
        <v>100</v>
      </c>
      <c r="N364" s="3">
        <v>0</v>
      </c>
      <c r="O364" s="3">
        <v>0</v>
      </c>
      <c r="P364" s="3">
        <v>0</v>
      </c>
      <c r="Q364" s="3">
        <v>100</v>
      </c>
    </row>
    <row r="365" spans="1:17">
      <c r="A365" t="s">
        <v>734</v>
      </c>
      <c r="B365" t="s">
        <v>735</v>
      </c>
      <c r="C365" s="3">
        <v>8.48</v>
      </c>
      <c r="D365" s="3">
        <v>2.94</v>
      </c>
      <c r="E365" s="3">
        <v>401.35</v>
      </c>
      <c r="F365" s="3">
        <v>73.54000000000001</v>
      </c>
      <c r="G365" s="3">
        <v>0</v>
      </c>
      <c r="H365" s="3">
        <v>0</v>
      </c>
      <c r="I365" s="3">
        <v>1</v>
      </c>
      <c r="J365" s="3">
        <v>40703.3</v>
      </c>
      <c r="K365" s="3">
        <v>321914.11</v>
      </c>
      <c r="L365" s="3">
        <v>275182.8</v>
      </c>
      <c r="M365" s="3">
        <v>100</v>
      </c>
      <c r="N365" s="3">
        <v>0</v>
      </c>
      <c r="O365" s="3">
        <v>0</v>
      </c>
      <c r="P365" s="3">
        <v>0</v>
      </c>
      <c r="Q365" s="3">
        <v>100</v>
      </c>
    </row>
    <row r="366" spans="1:17">
      <c r="A366" t="s">
        <v>736</v>
      </c>
      <c r="B366" t="s">
        <v>737</v>
      </c>
      <c r="C366" s="3">
        <v>8.390000000000001</v>
      </c>
      <c r="D366" s="3">
        <v>3</v>
      </c>
      <c r="E366" s="3">
        <v>411.97</v>
      </c>
      <c r="F366" s="3">
        <v>71.52</v>
      </c>
      <c r="G366" s="3">
        <v>0</v>
      </c>
      <c r="H366" s="3">
        <v>0</v>
      </c>
      <c r="I366" s="3">
        <v>1</v>
      </c>
      <c r="J366" s="3">
        <v>40250</v>
      </c>
      <c r="K366" s="3">
        <v>324246.91</v>
      </c>
      <c r="L366" s="3">
        <v>282461.54</v>
      </c>
      <c r="M366" s="3">
        <v>100</v>
      </c>
      <c r="N366" s="3">
        <v>0</v>
      </c>
      <c r="O366" s="3">
        <v>0</v>
      </c>
      <c r="P366" s="3">
        <v>0</v>
      </c>
      <c r="Q366" s="3">
        <v>100</v>
      </c>
    </row>
    <row r="367" spans="1:17">
      <c r="A367" t="s">
        <v>738</v>
      </c>
      <c r="B367" t="s">
        <v>739</v>
      </c>
      <c r="C367" s="3">
        <v>8.130000000000001</v>
      </c>
      <c r="D367" s="3">
        <v>3.05</v>
      </c>
      <c r="E367" s="3">
        <v>422.99</v>
      </c>
      <c r="F367" s="3">
        <v>130.66</v>
      </c>
      <c r="G367" s="3">
        <v>0</v>
      </c>
      <c r="H367" s="3">
        <v>0</v>
      </c>
      <c r="I367" s="3">
        <v>1</v>
      </c>
      <c r="J367" s="3">
        <v>41622.82</v>
      </c>
      <c r="K367" s="3">
        <v>326608.7</v>
      </c>
      <c r="L367" s="3">
        <v>300069.36</v>
      </c>
      <c r="M367" s="3">
        <v>100</v>
      </c>
      <c r="N367" s="3">
        <v>0</v>
      </c>
      <c r="O367" s="3">
        <v>0</v>
      </c>
      <c r="P367" s="3">
        <v>0</v>
      </c>
      <c r="Q367" s="3">
        <v>100</v>
      </c>
    </row>
    <row r="368" spans="1:17">
      <c r="A368" t="s">
        <v>740</v>
      </c>
      <c r="B368" t="s">
        <v>741</v>
      </c>
      <c r="C368" s="3">
        <v>8.09</v>
      </c>
      <c r="D368" s="3">
        <v>3.11</v>
      </c>
      <c r="E368" s="3">
        <v>434.69</v>
      </c>
      <c r="F368" s="3">
        <v>67.91</v>
      </c>
      <c r="G368" s="3">
        <v>0</v>
      </c>
      <c r="H368" s="3">
        <v>0</v>
      </c>
      <c r="I368" s="3">
        <v>1</v>
      </c>
      <c r="J368" s="3">
        <v>41160.88</v>
      </c>
      <c r="K368" s="3">
        <v>326608.7</v>
      </c>
      <c r="L368" s="3">
        <v>302139.53</v>
      </c>
      <c r="M368" s="3">
        <v>100</v>
      </c>
      <c r="N368" s="3">
        <v>0</v>
      </c>
      <c r="O368" s="3">
        <v>0</v>
      </c>
      <c r="P368" s="3">
        <v>0</v>
      </c>
      <c r="Q368" s="3">
        <v>100</v>
      </c>
    </row>
    <row r="369" spans="1:17">
      <c r="A369" t="s">
        <v>742</v>
      </c>
      <c r="B369" t="s">
        <v>743</v>
      </c>
      <c r="C369" s="3">
        <v>7.87</v>
      </c>
      <c r="D369" s="3">
        <v>3.16</v>
      </c>
      <c r="E369" s="3">
        <v>446.27</v>
      </c>
      <c r="F369" s="3">
        <v>82.55</v>
      </c>
      <c r="G369" s="3">
        <v>0</v>
      </c>
      <c r="H369" s="3">
        <v>0</v>
      </c>
      <c r="I369" s="3">
        <v>1</v>
      </c>
      <c r="J369" s="3">
        <v>42560</v>
      </c>
      <c r="K369" s="3">
        <v>329000</v>
      </c>
      <c r="L369" s="3">
        <v>315084.34</v>
      </c>
      <c r="M369" s="3">
        <v>100</v>
      </c>
      <c r="N369" s="3">
        <v>0</v>
      </c>
      <c r="O369" s="3">
        <v>0</v>
      </c>
      <c r="P369" s="3">
        <v>0</v>
      </c>
      <c r="Q369" s="3">
        <v>100</v>
      </c>
    </row>
    <row r="370" spans="1:17">
      <c r="A370" t="s">
        <v>744</v>
      </c>
      <c r="B370" t="s">
        <v>745</v>
      </c>
      <c r="C370" s="3">
        <v>7.82</v>
      </c>
      <c r="D370" s="3">
        <v>3.22</v>
      </c>
      <c r="E370" s="3">
        <v>457.67</v>
      </c>
      <c r="F370" s="3">
        <v>104.77</v>
      </c>
      <c r="G370" s="3">
        <v>0</v>
      </c>
      <c r="H370" s="3">
        <v>1</v>
      </c>
      <c r="I370" s="3">
        <v>2</v>
      </c>
      <c r="J370" s="3">
        <v>42717.95</v>
      </c>
      <c r="K370" s="3">
        <v>326608.7</v>
      </c>
      <c r="L370" s="3">
        <v>312862.28</v>
      </c>
      <c r="M370" s="3">
        <v>100</v>
      </c>
      <c r="N370" s="3">
        <v>0</v>
      </c>
      <c r="O370" s="3">
        <v>0</v>
      </c>
      <c r="P370" s="3">
        <v>0</v>
      </c>
      <c r="Q370" s="3">
        <v>100</v>
      </c>
    </row>
    <row r="371" spans="1:17">
      <c r="A371" t="s">
        <v>746</v>
      </c>
      <c r="B371" t="s">
        <v>747</v>
      </c>
      <c r="C371" s="3">
        <v>7.83</v>
      </c>
      <c r="D371" s="3">
        <v>3.24</v>
      </c>
      <c r="E371" s="3">
        <v>468.98</v>
      </c>
      <c r="F371" s="3">
        <v>68.92</v>
      </c>
      <c r="G371" s="3">
        <v>0</v>
      </c>
      <c r="H371" s="3">
        <v>1</v>
      </c>
      <c r="I371" s="3">
        <v>3</v>
      </c>
      <c r="J371" s="3">
        <v>43837.93</v>
      </c>
      <c r="K371" s="3">
        <v>329000</v>
      </c>
      <c r="L371" s="3">
        <v>319609.76</v>
      </c>
      <c r="M371" s="3">
        <v>100</v>
      </c>
      <c r="N371" s="3">
        <v>0</v>
      </c>
      <c r="O371" s="3">
        <v>0</v>
      </c>
      <c r="P371" s="3">
        <v>0</v>
      </c>
      <c r="Q371" s="3">
        <v>100</v>
      </c>
    </row>
    <row r="372" spans="1:17">
      <c r="A372" t="s">
        <v>748</v>
      </c>
      <c r="B372" t="s">
        <v>749</v>
      </c>
      <c r="C372" s="3">
        <v>7.83</v>
      </c>
      <c r="D372" s="3">
        <v>3.21</v>
      </c>
      <c r="E372" s="3">
        <v>480.65</v>
      </c>
      <c r="F372" s="3">
        <v>70.93000000000001</v>
      </c>
      <c r="G372" s="3">
        <v>0</v>
      </c>
      <c r="H372" s="3">
        <v>1</v>
      </c>
      <c r="I372" s="3">
        <v>3</v>
      </c>
      <c r="J372" s="3">
        <v>45818.18</v>
      </c>
      <c r="K372" s="3">
        <v>329000</v>
      </c>
      <c r="L372" s="3">
        <v>324246.91</v>
      </c>
      <c r="M372" s="3">
        <v>100</v>
      </c>
      <c r="N372" s="3">
        <v>0</v>
      </c>
      <c r="O372" s="3">
        <v>0</v>
      </c>
      <c r="P372" s="3">
        <v>0</v>
      </c>
      <c r="Q372" s="3">
        <v>100</v>
      </c>
    </row>
    <row r="373" spans="1:17">
      <c r="A373" t="s">
        <v>750</v>
      </c>
      <c r="B373" t="s">
        <v>751</v>
      </c>
      <c r="C373" s="3">
        <v>7.67</v>
      </c>
      <c r="D373" s="3">
        <v>3.42</v>
      </c>
      <c r="E373" s="3">
        <v>492.61</v>
      </c>
      <c r="F373" s="3">
        <v>77.33</v>
      </c>
      <c r="G373" s="3">
        <v>0</v>
      </c>
      <c r="H373" s="3">
        <v>1</v>
      </c>
      <c r="I373" s="3">
        <v>3</v>
      </c>
      <c r="J373" s="3">
        <v>47878.58</v>
      </c>
      <c r="K373" s="3">
        <v>333873.42</v>
      </c>
      <c r="L373" s="3">
        <v>331421.38</v>
      </c>
      <c r="M373" s="3">
        <v>100</v>
      </c>
      <c r="N373" s="3">
        <v>0</v>
      </c>
      <c r="O373" s="3">
        <v>0</v>
      </c>
      <c r="P373" s="3">
        <v>0</v>
      </c>
      <c r="Q373" s="3">
        <v>100</v>
      </c>
    </row>
    <row r="374" spans="1:17">
      <c r="A374" t="s">
        <v>752</v>
      </c>
      <c r="B374" t="s">
        <v>753</v>
      </c>
      <c r="C374" s="3">
        <v>7.64</v>
      </c>
      <c r="D374" s="3">
        <v>3.82</v>
      </c>
      <c r="E374" s="3">
        <v>505.79</v>
      </c>
      <c r="F374" s="3">
        <v>81.77</v>
      </c>
      <c r="G374" s="3">
        <v>0</v>
      </c>
      <c r="H374" s="3">
        <v>1</v>
      </c>
      <c r="I374" s="3">
        <v>2</v>
      </c>
      <c r="J374" s="3">
        <v>44653.59</v>
      </c>
      <c r="K374" s="3">
        <v>333873.42</v>
      </c>
      <c r="L374" s="3">
        <v>315084.34</v>
      </c>
      <c r="M374" s="3">
        <v>100</v>
      </c>
      <c r="N374" s="3">
        <v>0</v>
      </c>
      <c r="O374" s="3">
        <v>0</v>
      </c>
      <c r="P374" s="3">
        <v>0</v>
      </c>
      <c r="Q374" s="3">
        <v>100</v>
      </c>
    </row>
    <row r="375" spans="1:17">
      <c r="A375" t="s">
        <v>754</v>
      </c>
      <c r="B375" t="s">
        <v>755</v>
      </c>
      <c r="C375" s="3">
        <v>7.55</v>
      </c>
      <c r="D375" s="3">
        <v>5.76</v>
      </c>
      <c r="E375" s="3">
        <v>517.95</v>
      </c>
      <c r="F375" s="3">
        <v>111.52</v>
      </c>
      <c r="G375" s="3">
        <v>0</v>
      </c>
      <c r="H375" s="3">
        <v>1</v>
      </c>
      <c r="I375" s="3">
        <v>2</v>
      </c>
      <c r="J375" s="3">
        <v>36077.73</v>
      </c>
      <c r="K375" s="3">
        <v>354666.67</v>
      </c>
      <c r="L375" s="3">
        <v>264833.33</v>
      </c>
      <c r="M375" s="3">
        <v>80.40000000000001</v>
      </c>
      <c r="N375" s="3">
        <v>0</v>
      </c>
      <c r="O375" s="3">
        <v>0</v>
      </c>
      <c r="P375" s="3">
        <v>0</v>
      </c>
      <c r="Q375" s="3">
        <v>80.40000000000001</v>
      </c>
    </row>
    <row r="376" spans="1:17">
      <c r="A376" t="s">
        <v>756</v>
      </c>
      <c r="B376" t="s">
        <v>757</v>
      </c>
      <c r="C376" s="3">
        <v>7.62</v>
      </c>
      <c r="D376" s="3">
        <v>6.79</v>
      </c>
      <c r="E376" s="3">
        <v>529.8200000000001</v>
      </c>
      <c r="F376" s="3">
        <v>73</v>
      </c>
      <c r="G376" s="3">
        <v>0</v>
      </c>
      <c r="H376" s="3">
        <v>1</v>
      </c>
      <c r="I376" s="3">
        <v>2</v>
      </c>
      <c r="J376" s="3">
        <v>30760.56</v>
      </c>
      <c r="K376" s="3">
        <v>368827.59</v>
      </c>
      <c r="L376" s="3">
        <v>240153.85</v>
      </c>
      <c r="M376" s="3">
        <v>53.8</v>
      </c>
      <c r="N376" s="3">
        <v>0</v>
      </c>
      <c r="O376" s="3">
        <v>0</v>
      </c>
      <c r="P376" s="3">
        <v>0</v>
      </c>
      <c r="Q376" s="3">
        <v>53.8</v>
      </c>
    </row>
    <row r="377" spans="1:17">
      <c r="A377" t="s">
        <v>758</v>
      </c>
      <c r="B377" t="s">
        <v>759</v>
      </c>
      <c r="C377" s="3">
        <v>7.67</v>
      </c>
      <c r="D377" s="3">
        <v>8.58</v>
      </c>
      <c r="E377" s="3">
        <v>541.38</v>
      </c>
      <c r="F377" s="3">
        <v>64.23</v>
      </c>
      <c r="G377" s="3">
        <v>0</v>
      </c>
      <c r="H377" s="3">
        <v>1</v>
      </c>
      <c r="I377" s="3">
        <v>3</v>
      </c>
      <c r="J377" s="3">
        <v>26133.33</v>
      </c>
      <c r="K377" s="3">
        <v>380879.43</v>
      </c>
      <c r="L377" s="3">
        <v>214175.44</v>
      </c>
      <c r="M377" s="3">
        <v>30.7</v>
      </c>
      <c r="N377" s="3">
        <v>0</v>
      </c>
      <c r="O377" s="3">
        <v>0</v>
      </c>
      <c r="P377" s="3">
        <v>0</v>
      </c>
      <c r="Q377" s="3">
        <v>30.7</v>
      </c>
    </row>
    <row r="378" spans="1:17">
      <c r="A378" t="s">
        <v>760</v>
      </c>
      <c r="B378" t="s">
        <v>761</v>
      </c>
      <c r="C378" s="3">
        <v>7.69</v>
      </c>
      <c r="D378" s="3">
        <v>10.82</v>
      </c>
      <c r="E378" s="3">
        <v>553.0700000000001</v>
      </c>
      <c r="F378" s="3">
        <v>74.84</v>
      </c>
      <c r="G378" s="3">
        <v>0</v>
      </c>
      <c r="H378" s="3">
        <v>1</v>
      </c>
      <c r="I378" s="3">
        <v>3</v>
      </c>
      <c r="J378" s="3">
        <v>22772.38</v>
      </c>
      <c r="K378" s="3">
        <v>390376.81</v>
      </c>
      <c r="L378" s="3">
        <v>195428.57</v>
      </c>
      <c r="M378" s="3">
        <v>13.9</v>
      </c>
      <c r="N378" s="3">
        <v>0</v>
      </c>
      <c r="O378" s="3">
        <v>2.3</v>
      </c>
      <c r="P378" s="3">
        <v>0</v>
      </c>
      <c r="Q378" s="3">
        <v>13.9</v>
      </c>
    </row>
    <row r="379" spans="1:17">
      <c r="A379" t="s">
        <v>762</v>
      </c>
      <c r="B379" t="s">
        <v>763</v>
      </c>
      <c r="C379" s="3">
        <v>7.63</v>
      </c>
      <c r="D379" s="3">
        <v>20.09</v>
      </c>
      <c r="E379" s="3">
        <v>565.53</v>
      </c>
      <c r="F379" s="3">
        <v>100.91</v>
      </c>
      <c r="G379" s="3">
        <v>0</v>
      </c>
      <c r="H379" s="3">
        <v>1</v>
      </c>
      <c r="I379" s="3">
        <v>3</v>
      </c>
      <c r="J379" s="3">
        <v>18306.39</v>
      </c>
      <c r="K379" s="3">
        <v>396941.18</v>
      </c>
      <c r="L379" s="3">
        <v>155683.85</v>
      </c>
      <c r="M379" s="3">
        <v>0</v>
      </c>
      <c r="N379" s="3">
        <v>0</v>
      </c>
      <c r="O379" s="3">
        <v>22.2</v>
      </c>
      <c r="P379" s="3">
        <v>0</v>
      </c>
      <c r="Q379" s="3">
        <v>0</v>
      </c>
    </row>
    <row r="380" spans="1:17">
      <c r="A380" t="s">
        <v>764</v>
      </c>
      <c r="B380" t="s">
        <v>765</v>
      </c>
      <c r="C380" s="3">
        <v>7.72</v>
      </c>
      <c r="D380" s="3">
        <v>16.54</v>
      </c>
      <c r="E380" s="3">
        <v>577.26</v>
      </c>
      <c r="F380" s="3">
        <v>30.81</v>
      </c>
      <c r="G380" s="3">
        <v>0</v>
      </c>
      <c r="H380" s="3">
        <v>1</v>
      </c>
      <c r="I380" s="3">
        <v>1</v>
      </c>
      <c r="J380" s="3">
        <v>16641.51</v>
      </c>
      <c r="K380" s="3">
        <v>410666.67</v>
      </c>
      <c r="L380" s="3">
        <v>158634.15</v>
      </c>
      <c r="M380" s="3">
        <v>0</v>
      </c>
      <c r="N380" s="3">
        <v>0</v>
      </c>
      <c r="O380" s="3">
        <v>20.7</v>
      </c>
      <c r="P380" s="3">
        <v>0</v>
      </c>
      <c r="Q380" s="3">
        <v>0</v>
      </c>
    </row>
    <row r="381" spans="1:17">
      <c r="A381" t="s">
        <v>766</v>
      </c>
      <c r="B381" t="s">
        <v>767</v>
      </c>
      <c r="C381" s="3">
        <v>7.74</v>
      </c>
      <c r="D381" s="3">
        <v>18.07</v>
      </c>
      <c r="E381" s="3">
        <v>589.87</v>
      </c>
      <c r="F381" s="3">
        <v>68.44</v>
      </c>
      <c r="G381" s="3">
        <v>0</v>
      </c>
      <c r="H381" s="3">
        <v>1</v>
      </c>
      <c r="I381" s="3">
        <v>1</v>
      </c>
      <c r="J381" s="3">
        <v>15711.29</v>
      </c>
      <c r="K381" s="3">
        <v>421519.38</v>
      </c>
      <c r="L381" s="3">
        <v>157888.89</v>
      </c>
      <c r="M381" s="3">
        <v>0</v>
      </c>
      <c r="N381" s="3">
        <v>0</v>
      </c>
      <c r="O381" s="3">
        <v>21.1</v>
      </c>
      <c r="P381" s="3">
        <v>0</v>
      </c>
      <c r="Q381" s="3">
        <v>0</v>
      </c>
    </row>
    <row r="382" spans="1:17">
      <c r="A382" t="s">
        <v>768</v>
      </c>
      <c r="B382" t="s">
        <v>769</v>
      </c>
      <c r="C382" s="3">
        <v>7.71</v>
      </c>
      <c r="D382" s="3">
        <v>19.97</v>
      </c>
      <c r="E382" s="3">
        <v>602.41</v>
      </c>
      <c r="F382" s="3">
        <v>130.43</v>
      </c>
      <c r="G382" s="3">
        <v>0</v>
      </c>
      <c r="H382" s="3">
        <v>1</v>
      </c>
      <c r="I382" s="3">
        <v>1</v>
      </c>
      <c r="J382" s="3">
        <v>15296.3</v>
      </c>
      <c r="K382" s="3">
        <v>421519.38</v>
      </c>
      <c r="L382" s="3">
        <v>157148.79</v>
      </c>
      <c r="M382" s="3">
        <v>0</v>
      </c>
      <c r="N382" s="3">
        <v>0</v>
      </c>
      <c r="O382" s="3">
        <v>21.4</v>
      </c>
      <c r="P382" s="3">
        <v>0</v>
      </c>
      <c r="Q382" s="3">
        <v>0</v>
      </c>
    </row>
    <row r="383" spans="1:17">
      <c r="A383" t="s">
        <v>770</v>
      </c>
      <c r="B383" t="s">
        <v>771</v>
      </c>
      <c r="C383" s="3">
        <v>7.7</v>
      </c>
      <c r="D383" s="3">
        <v>20.54</v>
      </c>
      <c r="E383" s="3">
        <v>614.9299999999999</v>
      </c>
      <c r="F383" s="3">
        <v>73.59999999999999</v>
      </c>
      <c r="G383" s="3">
        <v>0</v>
      </c>
      <c r="H383" s="3">
        <v>1</v>
      </c>
      <c r="I383" s="3">
        <v>1</v>
      </c>
      <c r="J383" s="3">
        <v>14967.74</v>
      </c>
      <c r="K383" s="3">
        <v>429039.37</v>
      </c>
      <c r="L383" s="3">
        <v>160140.35</v>
      </c>
      <c r="M383" s="3">
        <v>0</v>
      </c>
      <c r="N383" s="3">
        <v>0</v>
      </c>
      <c r="O383" s="3">
        <v>19.9</v>
      </c>
      <c r="P383" s="3">
        <v>0</v>
      </c>
      <c r="Q383" s="3">
        <v>0</v>
      </c>
    </row>
    <row r="384" spans="1:17">
      <c r="A384" t="s">
        <v>772</v>
      </c>
      <c r="B384" t="s">
        <v>773</v>
      </c>
      <c r="C384" s="3">
        <v>7.86</v>
      </c>
      <c r="D384" s="3">
        <v>22.5</v>
      </c>
      <c r="E384" s="3">
        <v>628.23</v>
      </c>
      <c r="F384" s="3">
        <v>64.89</v>
      </c>
      <c r="G384" s="3">
        <v>0</v>
      </c>
      <c r="H384" s="3">
        <v>1</v>
      </c>
      <c r="I384" s="3">
        <v>1</v>
      </c>
      <c r="J384" s="3">
        <v>14723.31</v>
      </c>
      <c r="K384" s="3">
        <v>429039.37</v>
      </c>
      <c r="L384" s="3">
        <v>160140.35</v>
      </c>
      <c r="M384" s="3">
        <v>0</v>
      </c>
      <c r="N384" s="3">
        <v>0</v>
      </c>
      <c r="O384" s="3">
        <v>19.9</v>
      </c>
      <c r="P384" s="3">
        <v>0</v>
      </c>
      <c r="Q384" s="3">
        <v>0</v>
      </c>
    </row>
    <row r="385" spans="1:17">
      <c r="A385" t="s">
        <v>774</v>
      </c>
      <c r="B385" t="s">
        <v>775</v>
      </c>
      <c r="C385" s="3">
        <v>7.91</v>
      </c>
      <c r="D385" s="3">
        <v>23.23</v>
      </c>
      <c r="E385" s="3">
        <v>643.09</v>
      </c>
      <c r="F385" s="3">
        <v>81.72</v>
      </c>
      <c r="G385" s="3">
        <v>0</v>
      </c>
      <c r="H385" s="3">
        <v>1</v>
      </c>
      <c r="I385" s="3">
        <v>1</v>
      </c>
      <c r="J385" s="3">
        <v>14886.08</v>
      </c>
      <c r="K385" s="3">
        <v>432888.89</v>
      </c>
      <c r="L385" s="3">
        <v>168000</v>
      </c>
      <c r="M385" s="3">
        <v>0</v>
      </c>
      <c r="N385" s="3">
        <v>0</v>
      </c>
      <c r="O385" s="3">
        <v>16</v>
      </c>
      <c r="P385" s="3">
        <v>0</v>
      </c>
      <c r="Q385" s="3">
        <v>0</v>
      </c>
    </row>
    <row r="386" spans="1:17">
      <c r="A386" t="s">
        <v>776</v>
      </c>
      <c r="B386" t="s">
        <v>777</v>
      </c>
      <c r="C386" s="3">
        <v>8.01</v>
      </c>
      <c r="D386" s="3">
        <v>24.35</v>
      </c>
      <c r="E386" s="3">
        <v>656.54</v>
      </c>
      <c r="F386" s="3">
        <v>56.83</v>
      </c>
      <c r="G386" s="3">
        <v>1</v>
      </c>
      <c r="H386" s="3">
        <v>1</v>
      </c>
      <c r="I386" s="3">
        <v>1</v>
      </c>
      <c r="J386" s="3">
        <v>14804.6</v>
      </c>
      <c r="K386" s="3">
        <v>432888.89</v>
      </c>
      <c r="L386" s="3">
        <v>166382.67</v>
      </c>
      <c r="M386" s="3">
        <v>0</v>
      </c>
      <c r="N386" s="3">
        <v>0</v>
      </c>
      <c r="O386" s="3">
        <v>16.8</v>
      </c>
      <c r="P386" s="3">
        <v>0</v>
      </c>
      <c r="Q386" s="3">
        <v>0</v>
      </c>
    </row>
    <row r="387" spans="1:17">
      <c r="A387" t="s">
        <v>778</v>
      </c>
      <c r="B387" t="s">
        <v>779</v>
      </c>
      <c r="C387" s="3">
        <v>8.199999999999999</v>
      </c>
      <c r="D387" s="3">
        <v>25.63</v>
      </c>
      <c r="E387" s="3">
        <v>668.6</v>
      </c>
      <c r="F387" s="3">
        <v>75.08</v>
      </c>
      <c r="G387" s="3">
        <v>1</v>
      </c>
      <c r="H387" s="3">
        <v>1</v>
      </c>
      <c r="I387" s="3">
        <v>1</v>
      </c>
      <c r="J387" s="3">
        <v>14804.6</v>
      </c>
      <c r="K387" s="3">
        <v>432888.89</v>
      </c>
      <c r="L387" s="3">
        <v>168000</v>
      </c>
      <c r="M387" s="3">
        <v>0</v>
      </c>
      <c r="N387" s="3">
        <v>0</v>
      </c>
      <c r="O387" s="3">
        <v>16</v>
      </c>
      <c r="P387" s="3">
        <v>0</v>
      </c>
      <c r="Q387" s="3">
        <v>0</v>
      </c>
    </row>
    <row r="388" spans="1:17">
      <c r="A388" t="s">
        <v>780</v>
      </c>
      <c r="B388" t="s">
        <v>781</v>
      </c>
      <c r="C388" s="3">
        <v>8.34</v>
      </c>
      <c r="D388" s="3">
        <v>26.66</v>
      </c>
      <c r="E388" s="3">
        <v>681.66</v>
      </c>
      <c r="F388" s="3">
        <v>58.9</v>
      </c>
      <c r="G388" s="3">
        <v>1</v>
      </c>
      <c r="H388" s="3">
        <v>1</v>
      </c>
      <c r="I388" s="3">
        <v>1</v>
      </c>
      <c r="J388" s="3">
        <v>14886.08</v>
      </c>
      <c r="K388" s="3">
        <v>429039.37</v>
      </c>
      <c r="L388" s="3">
        <v>168817.52</v>
      </c>
      <c r="M388" s="3">
        <v>0</v>
      </c>
      <c r="N388" s="3">
        <v>0</v>
      </c>
      <c r="O388" s="3">
        <v>15.6</v>
      </c>
      <c r="P388" s="3">
        <v>0</v>
      </c>
      <c r="Q388" s="3">
        <v>0</v>
      </c>
    </row>
    <row r="389" spans="1:17">
      <c r="A389" t="s">
        <v>782</v>
      </c>
      <c r="B389" t="s">
        <v>783</v>
      </c>
      <c r="C389" s="3">
        <v>8.48</v>
      </c>
      <c r="D389" s="3">
        <v>28.83</v>
      </c>
      <c r="E389" s="3">
        <v>695.8200000000001</v>
      </c>
      <c r="F389" s="3">
        <v>72.23</v>
      </c>
      <c r="G389" s="3">
        <v>1</v>
      </c>
      <c r="H389" s="3">
        <v>1</v>
      </c>
      <c r="I389" s="3">
        <v>1</v>
      </c>
      <c r="J389" s="3">
        <v>14561.28</v>
      </c>
      <c r="K389" s="3">
        <v>432888.89</v>
      </c>
      <c r="L389" s="3">
        <v>164000</v>
      </c>
      <c r="M389" s="3">
        <v>0</v>
      </c>
      <c r="N389" s="3">
        <v>0</v>
      </c>
      <c r="O389" s="3">
        <v>18</v>
      </c>
      <c r="P389" s="3">
        <v>0</v>
      </c>
      <c r="Q389" s="3">
        <v>0</v>
      </c>
    </row>
    <row r="390" spans="1:17">
      <c r="A390" t="s">
        <v>784</v>
      </c>
      <c r="B390" t="s">
        <v>785</v>
      </c>
      <c r="C390" s="3">
        <v>8.59</v>
      </c>
      <c r="D390" s="3">
        <v>30.95</v>
      </c>
      <c r="E390" s="3">
        <v>710.1</v>
      </c>
      <c r="F390" s="3">
        <v>70.22</v>
      </c>
      <c r="G390" s="3">
        <v>1</v>
      </c>
      <c r="H390" s="3">
        <v>1</v>
      </c>
      <c r="I390" s="3">
        <v>1</v>
      </c>
      <c r="J390" s="3">
        <v>14480.55</v>
      </c>
      <c r="K390" s="3">
        <v>429039.37</v>
      </c>
      <c r="L390" s="3">
        <v>162439.72</v>
      </c>
      <c r="M390" s="3">
        <v>0</v>
      </c>
      <c r="N390" s="3">
        <v>0</v>
      </c>
      <c r="O390" s="3">
        <v>18.8</v>
      </c>
      <c r="P390" s="3">
        <v>0</v>
      </c>
      <c r="Q390" s="3">
        <v>0</v>
      </c>
    </row>
    <row r="391" spans="1:17">
      <c r="A391" t="s">
        <v>786</v>
      </c>
      <c r="B391" t="s">
        <v>787</v>
      </c>
      <c r="C391" s="3">
        <v>8.83</v>
      </c>
      <c r="D391" s="3">
        <v>31.38</v>
      </c>
      <c r="E391" s="3">
        <v>724.48</v>
      </c>
      <c r="F391" s="3">
        <v>75.37</v>
      </c>
      <c r="G391" s="3">
        <v>1</v>
      </c>
      <c r="H391" s="3">
        <v>1</v>
      </c>
      <c r="I391" s="3">
        <v>1</v>
      </c>
      <c r="J391" s="3">
        <v>14400</v>
      </c>
      <c r="K391" s="3">
        <v>432888.89</v>
      </c>
      <c r="L391" s="3">
        <v>163217.08</v>
      </c>
      <c r="M391" s="3">
        <v>0</v>
      </c>
      <c r="N391" s="3">
        <v>0</v>
      </c>
      <c r="O391" s="3">
        <v>18.4</v>
      </c>
      <c r="P391" s="3">
        <v>0</v>
      </c>
      <c r="Q391" s="3">
        <v>0</v>
      </c>
    </row>
    <row r="392" spans="1:17">
      <c r="A392" t="s">
        <v>788</v>
      </c>
      <c r="B392" t="s">
        <v>789</v>
      </c>
      <c r="C392" s="3">
        <v>9.08</v>
      </c>
      <c r="D392" s="3">
        <v>31.5</v>
      </c>
      <c r="E392" s="3">
        <v>736.84</v>
      </c>
      <c r="F392" s="3">
        <v>68.38</v>
      </c>
      <c r="G392" s="3">
        <v>1</v>
      </c>
      <c r="H392" s="3">
        <v>1</v>
      </c>
      <c r="I392" s="3">
        <v>1</v>
      </c>
      <c r="J392" s="3">
        <v>14723.31</v>
      </c>
      <c r="K392" s="3">
        <v>432888.89</v>
      </c>
      <c r="L392" s="3">
        <v>167188.41</v>
      </c>
      <c r="M392" s="3">
        <v>0</v>
      </c>
      <c r="N392" s="3">
        <v>0</v>
      </c>
      <c r="O392" s="3">
        <v>16.4</v>
      </c>
      <c r="P392" s="3">
        <v>0</v>
      </c>
      <c r="Q392" s="3">
        <v>0</v>
      </c>
    </row>
    <row r="393" spans="1:17">
      <c r="A393" t="s">
        <v>790</v>
      </c>
      <c r="B393" t="s">
        <v>791</v>
      </c>
      <c r="C393" s="3">
        <v>9.4</v>
      </c>
      <c r="D393" s="3">
        <v>32.08</v>
      </c>
      <c r="E393" s="3">
        <v>750.54</v>
      </c>
      <c r="F393" s="3">
        <v>70.34</v>
      </c>
      <c r="G393" s="3">
        <v>1</v>
      </c>
      <c r="H393" s="3">
        <v>1</v>
      </c>
      <c r="I393" s="3">
        <v>1</v>
      </c>
      <c r="J393" s="3">
        <v>14723.31</v>
      </c>
      <c r="K393" s="3">
        <v>429039.37</v>
      </c>
      <c r="L393" s="3">
        <v>164788.53</v>
      </c>
      <c r="M393" s="3">
        <v>0</v>
      </c>
      <c r="N393" s="3">
        <v>0</v>
      </c>
      <c r="O393" s="3">
        <v>17.6</v>
      </c>
      <c r="P393" s="3">
        <v>0</v>
      </c>
      <c r="Q393" s="3">
        <v>0</v>
      </c>
    </row>
    <row r="394" spans="1:17">
      <c r="A394" t="s">
        <v>792</v>
      </c>
      <c r="B394" t="s">
        <v>793</v>
      </c>
      <c r="C394" s="3">
        <v>9.82</v>
      </c>
      <c r="D394" s="3">
        <v>33.02</v>
      </c>
      <c r="E394" s="3">
        <v>765.5</v>
      </c>
      <c r="F394" s="3">
        <v>69.15000000000001</v>
      </c>
      <c r="G394" s="3">
        <v>1</v>
      </c>
      <c r="H394" s="3">
        <v>1</v>
      </c>
      <c r="I394" s="3">
        <v>1</v>
      </c>
      <c r="J394" s="3">
        <v>14804.6</v>
      </c>
      <c r="K394" s="3">
        <v>429039.37</v>
      </c>
      <c r="L394" s="3">
        <v>164000</v>
      </c>
      <c r="M394" s="3">
        <v>0</v>
      </c>
      <c r="N394" s="3">
        <v>0</v>
      </c>
      <c r="O394" s="3">
        <v>18</v>
      </c>
      <c r="P394" s="3">
        <v>0</v>
      </c>
      <c r="Q394" s="3">
        <v>0</v>
      </c>
    </row>
    <row r="395" spans="1:17">
      <c r="A395" t="s">
        <v>794</v>
      </c>
      <c r="B395" t="s">
        <v>795</v>
      </c>
      <c r="C395" s="3">
        <v>10.06</v>
      </c>
      <c r="D395" s="3">
        <v>33.91</v>
      </c>
      <c r="E395" s="3">
        <v>780.9400000000001</v>
      </c>
      <c r="F395" s="3">
        <v>77.51000000000001</v>
      </c>
      <c r="G395" s="3">
        <v>1</v>
      </c>
      <c r="H395" s="3">
        <v>1</v>
      </c>
      <c r="I395" s="3">
        <v>1</v>
      </c>
      <c r="J395" s="3">
        <v>15049.6</v>
      </c>
      <c r="K395" s="3">
        <v>429039.37</v>
      </c>
      <c r="L395" s="3">
        <v>164000</v>
      </c>
      <c r="M395" s="3">
        <v>0</v>
      </c>
      <c r="N395" s="3">
        <v>0</v>
      </c>
      <c r="O395" s="3">
        <v>18</v>
      </c>
      <c r="P395" s="3">
        <v>0</v>
      </c>
      <c r="Q395" s="3">
        <v>0</v>
      </c>
    </row>
    <row r="396" spans="1:17">
      <c r="A396" t="s">
        <v>796</v>
      </c>
      <c r="B396" t="s">
        <v>797</v>
      </c>
      <c r="C396" s="3">
        <v>10.27</v>
      </c>
      <c r="D396" s="3">
        <v>36.31</v>
      </c>
      <c r="E396" s="3">
        <v>797.3</v>
      </c>
      <c r="F396" s="3">
        <v>67.14</v>
      </c>
      <c r="G396" s="3">
        <v>1</v>
      </c>
      <c r="H396" s="3">
        <v>1</v>
      </c>
      <c r="I396" s="3">
        <v>1</v>
      </c>
      <c r="J396" s="3">
        <v>14886.08</v>
      </c>
      <c r="K396" s="3">
        <v>421519.38</v>
      </c>
      <c r="L396" s="3">
        <v>159384.62</v>
      </c>
      <c r="M396" s="3">
        <v>0</v>
      </c>
      <c r="N396" s="3">
        <v>0</v>
      </c>
      <c r="O396" s="3">
        <v>20.3</v>
      </c>
      <c r="P396" s="3">
        <v>0</v>
      </c>
      <c r="Q396" s="3">
        <v>0</v>
      </c>
    </row>
    <row r="397" spans="1:17">
      <c r="A397" t="s">
        <v>798</v>
      </c>
      <c r="B397" t="s">
        <v>799</v>
      </c>
      <c r="C397" s="3">
        <v>10.63</v>
      </c>
      <c r="D397" s="3">
        <v>37.39</v>
      </c>
      <c r="E397" s="3">
        <v>814.04</v>
      </c>
      <c r="F397" s="3">
        <v>86.93000000000001</v>
      </c>
      <c r="G397" s="3">
        <v>1</v>
      </c>
      <c r="H397" s="3">
        <v>1</v>
      </c>
      <c r="I397" s="3">
        <v>1</v>
      </c>
      <c r="J397" s="3">
        <v>14642.2</v>
      </c>
      <c r="K397" s="3">
        <v>425250</v>
      </c>
      <c r="L397" s="3">
        <v>156413.79</v>
      </c>
      <c r="M397" s="3">
        <v>0</v>
      </c>
      <c r="N397" s="3">
        <v>0</v>
      </c>
      <c r="O397" s="3">
        <v>21.8</v>
      </c>
      <c r="P397" s="3">
        <v>0</v>
      </c>
      <c r="Q397" s="3">
        <v>0</v>
      </c>
    </row>
    <row r="398" spans="1:17">
      <c r="A398" t="s">
        <v>800</v>
      </c>
      <c r="B398" t="s">
        <v>801</v>
      </c>
      <c r="C398" s="3">
        <v>11.01</v>
      </c>
      <c r="D398" s="3">
        <v>38.36</v>
      </c>
      <c r="E398" s="3">
        <v>831.58</v>
      </c>
      <c r="F398" s="3">
        <v>76.31999999999999</v>
      </c>
      <c r="G398" s="3">
        <v>0</v>
      </c>
      <c r="H398" s="3">
        <v>0</v>
      </c>
      <c r="I398" s="3">
        <v>0</v>
      </c>
      <c r="J398" s="3">
        <v>14723.31</v>
      </c>
      <c r="K398" s="3">
        <v>417846.15</v>
      </c>
      <c r="L398" s="3">
        <v>156413.79</v>
      </c>
      <c r="M398" s="3">
        <v>0</v>
      </c>
      <c r="N398" s="3">
        <v>0</v>
      </c>
      <c r="O398" s="3">
        <v>21.8</v>
      </c>
      <c r="P398" s="3">
        <v>0</v>
      </c>
      <c r="Q398" s="3">
        <v>0</v>
      </c>
    </row>
    <row r="399" spans="1:17">
      <c r="A399" t="s">
        <v>4</v>
      </c>
      <c r="B399" t="s">
        <v>802</v>
      </c>
      <c r="C399" s="3">
        <v>11.4</v>
      </c>
      <c r="D399" s="3">
        <v>38.4</v>
      </c>
      <c r="E399" s="3">
        <v>850.62</v>
      </c>
      <c r="F399" s="3">
        <v>73.12</v>
      </c>
      <c r="G399" s="3">
        <v>0</v>
      </c>
      <c r="H399" s="3">
        <v>0</v>
      </c>
      <c r="I399" s="3">
        <v>0</v>
      </c>
      <c r="J399" s="3">
        <v>14642.2</v>
      </c>
      <c r="K399" s="3">
        <v>417846.15</v>
      </c>
      <c r="L399" s="3">
        <v>152813.56</v>
      </c>
      <c r="M399" s="3">
        <v>0</v>
      </c>
      <c r="N399" s="3">
        <v>0</v>
      </c>
      <c r="O399" s="3">
        <v>23.6</v>
      </c>
      <c r="P399" s="3">
        <v>0</v>
      </c>
      <c r="Q399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K3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6.7109375" customWidth="1"/>
    <col min="2" max="6" width="18.7109375" customWidth="1"/>
    <col min="7" max="7" width="23.7109375" customWidth="1"/>
    <col min="8" max="8" width="22.7109375" customWidth="1"/>
    <col min="9" max="11" width="18.7109375" customWidth="1"/>
  </cols>
  <sheetData>
    <row r="1" spans="1:11">
      <c r="A1" t="s">
        <v>803</v>
      </c>
      <c r="B1" t="s">
        <v>815</v>
      </c>
      <c r="C1" t="s">
        <v>816</v>
      </c>
      <c r="D1" t="s">
        <v>817</v>
      </c>
      <c r="E1" t="s">
        <v>818</v>
      </c>
      <c r="F1" t="s">
        <v>819</v>
      </c>
      <c r="G1" t="s">
        <v>823</v>
      </c>
      <c r="H1" t="s">
        <v>824</v>
      </c>
      <c r="I1" t="s">
        <v>825</v>
      </c>
      <c r="J1" t="s">
        <v>826</v>
      </c>
      <c r="K1" t="s">
        <v>827</v>
      </c>
    </row>
    <row r="2" spans="1:11">
      <c r="A2" t="s">
        <v>2</v>
      </c>
      <c r="B2" s="3">
        <v>0</v>
      </c>
      <c r="C2" s="3">
        <v>57.7</v>
      </c>
      <c r="D2" s="3">
        <v>96.5</v>
      </c>
      <c r="E2" s="3">
        <v>57.7</v>
      </c>
      <c r="F2" s="3">
        <v>0</v>
      </c>
      <c r="G2" t="s">
        <v>820</v>
      </c>
      <c r="H2" t="s">
        <v>820</v>
      </c>
      <c r="I2" t="s">
        <v>820</v>
      </c>
      <c r="J2" t="s">
        <v>820</v>
      </c>
      <c r="K2" t="s">
        <v>820</v>
      </c>
    </row>
    <row r="3" spans="1:11">
      <c r="A3" t="s">
        <v>10</v>
      </c>
      <c r="B3" s="3">
        <v>0</v>
      </c>
      <c r="C3" s="3">
        <v>52.5</v>
      </c>
      <c r="D3" s="3">
        <v>96.09999999999999</v>
      </c>
      <c r="E3" s="3">
        <v>52.5</v>
      </c>
      <c r="F3" s="3">
        <v>0</v>
      </c>
      <c r="G3" t="s">
        <v>820</v>
      </c>
      <c r="H3" t="s">
        <v>821</v>
      </c>
      <c r="I3" t="s">
        <v>820</v>
      </c>
      <c r="J3" t="s">
        <v>821</v>
      </c>
      <c r="K3" t="s">
        <v>820</v>
      </c>
    </row>
    <row r="4" spans="1:11">
      <c r="A4" t="s">
        <v>12</v>
      </c>
      <c r="B4" s="3">
        <v>0</v>
      </c>
      <c r="C4" s="3">
        <v>57</v>
      </c>
      <c r="D4" s="3">
        <v>96.5</v>
      </c>
      <c r="E4" s="3">
        <v>57</v>
      </c>
      <c r="F4" s="3">
        <v>0</v>
      </c>
      <c r="G4" t="s">
        <v>820</v>
      </c>
      <c r="H4" t="s">
        <v>820</v>
      </c>
      <c r="I4" t="s">
        <v>820</v>
      </c>
      <c r="J4" t="s">
        <v>820</v>
      </c>
      <c r="K4" t="s">
        <v>820</v>
      </c>
    </row>
    <row r="5" spans="1:11">
      <c r="A5" t="s">
        <v>14</v>
      </c>
      <c r="B5" s="3">
        <v>0</v>
      </c>
      <c r="C5" s="3">
        <v>40.5</v>
      </c>
      <c r="D5" s="3">
        <v>95.5</v>
      </c>
      <c r="E5" s="3">
        <v>40.5</v>
      </c>
      <c r="F5" s="3">
        <v>0</v>
      </c>
      <c r="G5" t="s">
        <v>820</v>
      </c>
      <c r="H5" t="s">
        <v>821</v>
      </c>
      <c r="I5" t="s">
        <v>820</v>
      </c>
      <c r="J5" t="s">
        <v>821</v>
      </c>
      <c r="K5" t="s">
        <v>820</v>
      </c>
    </row>
    <row r="6" spans="1:11">
      <c r="A6" t="s">
        <v>16</v>
      </c>
      <c r="B6" s="3">
        <v>0</v>
      </c>
      <c r="C6" s="3">
        <v>54.8</v>
      </c>
      <c r="D6" s="3">
        <v>96.40000000000001</v>
      </c>
      <c r="E6" s="3">
        <v>54.8</v>
      </c>
      <c r="F6" s="3">
        <v>0</v>
      </c>
      <c r="G6" t="s">
        <v>820</v>
      </c>
      <c r="H6" t="s">
        <v>822</v>
      </c>
      <c r="I6" t="s">
        <v>820</v>
      </c>
      <c r="J6" t="s">
        <v>822</v>
      </c>
      <c r="K6" t="s">
        <v>820</v>
      </c>
    </row>
    <row r="7" spans="1:11">
      <c r="A7" t="s">
        <v>18</v>
      </c>
      <c r="B7" s="3">
        <v>0</v>
      </c>
      <c r="C7" s="3">
        <v>55.9</v>
      </c>
      <c r="D7" s="3">
        <v>96.5</v>
      </c>
      <c r="E7" s="3">
        <v>55.9</v>
      </c>
      <c r="F7" s="3">
        <v>0</v>
      </c>
      <c r="G7" t="s">
        <v>820</v>
      </c>
      <c r="H7" t="s">
        <v>822</v>
      </c>
      <c r="I7" t="s">
        <v>820</v>
      </c>
      <c r="J7" t="s">
        <v>822</v>
      </c>
      <c r="K7" t="s">
        <v>820</v>
      </c>
    </row>
    <row r="8" spans="1:11">
      <c r="A8" t="s">
        <v>20</v>
      </c>
      <c r="B8" s="3">
        <v>0</v>
      </c>
      <c r="C8" s="3">
        <v>55.5</v>
      </c>
      <c r="D8" s="3">
        <v>96.5</v>
      </c>
      <c r="E8" s="3">
        <v>55.5</v>
      </c>
      <c r="F8" s="3">
        <v>0</v>
      </c>
      <c r="G8" t="s">
        <v>820</v>
      </c>
      <c r="H8" t="s">
        <v>822</v>
      </c>
      <c r="I8" t="s">
        <v>820</v>
      </c>
      <c r="J8" t="s">
        <v>822</v>
      </c>
      <c r="K8" t="s">
        <v>820</v>
      </c>
    </row>
    <row r="9" spans="1:11">
      <c r="A9" t="s">
        <v>22</v>
      </c>
      <c r="B9" s="3">
        <v>0</v>
      </c>
      <c r="C9" s="3">
        <v>55.7</v>
      </c>
      <c r="D9" s="3">
        <v>96.5</v>
      </c>
      <c r="E9" s="3">
        <v>55.7</v>
      </c>
      <c r="F9" s="3">
        <v>0</v>
      </c>
      <c r="G9" t="s">
        <v>820</v>
      </c>
      <c r="H9" t="s">
        <v>822</v>
      </c>
      <c r="I9" t="s">
        <v>820</v>
      </c>
      <c r="J9" t="s">
        <v>822</v>
      </c>
      <c r="K9" t="s">
        <v>820</v>
      </c>
    </row>
    <row r="10" spans="1:11">
      <c r="A10" t="s">
        <v>24</v>
      </c>
      <c r="B10" s="3">
        <v>0</v>
      </c>
      <c r="C10" s="3">
        <v>50.8</v>
      </c>
      <c r="D10" s="3">
        <v>96</v>
      </c>
      <c r="E10" s="3">
        <v>50.8</v>
      </c>
      <c r="F10" s="3">
        <v>0</v>
      </c>
      <c r="G10" t="s">
        <v>820</v>
      </c>
      <c r="H10" t="s">
        <v>821</v>
      </c>
      <c r="I10" t="s">
        <v>820</v>
      </c>
      <c r="J10" t="s">
        <v>821</v>
      </c>
      <c r="K10" t="s">
        <v>820</v>
      </c>
    </row>
    <row r="11" spans="1:11">
      <c r="A11" t="s">
        <v>26</v>
      </c>
      <c r="B11" s="3">
        <v>0</v>
      </c>
      <c r="C11" s="3">
        <v>29.3</v>
      </c>
      <c r="D11" s="3">
        <v>95</v>
      </c>
      <c r="E11" s="3">
        <v>29.3</v>
      </c>
      <c r="F11" s="3">
        <v>0</v>
      </c>
      <c r="G11" t="s">
        <v>820</v>
      </c>
      <c r="H11" t="s">
        <v>821</v>
      </c>
      <c r="I11" t="s">
        <v>820</v>
      </c>
      <c r="J11" t="s">
        <v>821</v>
      </c>
      <c r="K11" t="s">
        <v>820</v>
      </c>
    </row>
    <row r="12" spans="1:11">
      <c r="A12" t="s">
        <v>28</v>
      </c>
      <c r="B12" s="3">
        <v>0</v>
      </c>
      <c r="C12" s="3">
        <v>40</v>
      </c>
      <c r="D12" s="3">
        <v>95.59999999999999</v>
      </c>
      <c r="E12" s="3">
        <v>40</v>
      </c>
      <c r="F12" s="3">
        <v>0</v>
      </c>
      <c r="G12" t="s">
        <v>820</v>
      </c>
      <c r="H12" t="s">
        <v>821</v>
      </c>
      <c r="I12" t="s">
        <v>820</v>
      </c>
      <c r="J12" t="s">
        <v>821</v>
      </c>
      <c r="K12" t="s">
        <v>820</v>
      </c>
    </row>
    <row r="13" spans="1:11">
      <c r="A13" t="s">
        <v>30</v>
      </c>
      <c r="B13" s="3">
        <v>0</v>
      </c>
      <c r="C13" s="3">
        <v>43.4</v>
      </c>
      <c r="D13" s="3">
        <v>95.7</v>
      </c>
      <c r="E13" s="3">
        <v>43.4</v>
      </c>
      <c r="F13" s="3">
        <v>0</v>
      </c>
      <c r="G13" t="s">
        <v>820</v>
      </c>
      <c r="H13" t="s">
        <v>820</v>
      </c>
      <c r="I13" t="s">
        <v>820</v>
      </c>
      <c r="J13" t="s">
        <v>820</v>
      </c>
      <c r="K13" t="s">
        <v>820</v>
      </c>
    </row>
    <row r="14" spans="1:11">
      <c r="A14" t="s">
        <v>32</v>
      </c>
      <c r="B14" s="3">
        <v>0</v>
      </c>
      <c r="C14" s="3">
        <v>51.2</v>
      </c>
      <c r="D14" s="3">
        <v>96.2</v>
      </c>
      <c r="E14" s="3">
        <v>51.2</v>
      </c>
      <c r="F14" s="3">
        <v>0</v>
      </c>
      <c r="G14" t="s">
        <v>820</v>
      </c>
      <c r="H14" t="s">
        <v>822</v>
      </c>
      <c r="I14" t="s">
        <v>820</v>
      </c>
      <c r="J14" t="s">
        <v>822</v>
      </c>
      <c r="K14" t="s">
        <v>820</v>
      </c>
    </row>
    <row r="15" spans="1:11">
      <c r="A15" t="s">
        <v>34</v>
      </c>
      <c r="B15" s="3">
        <v>0</v>
      </c>
      <c r="C15" s="3">
        <v>56.4</v>
      </c>
      <c r="D15" s="3">
        <v>96.40000000000001</v>
      </c>
      <c r="E15" s="3">
        <v>56.4</v>
      </c>
      <c r="F15" s="3">
        <v>0</v>
      </c>
      <c r="G15" t="s">
        <v>820</v>
      </c>
      <c r="H15" t="s">
        <v>822</v>
      </c>
      <c r="I15" t="s">
        <v>820</v>
      </c>
      <c r="J15" t="s">
        <v>822</v>
      </c>
      <c r="K15" t="s">
        <v>820</v>
      </c>
    </row>
    <row r="16" spans="1:11">
      <c r="A16" t="s">
        <v>36</v>
      </c>
      <c r="B16" s="3">
        <v>0</v>
      </c>
      <c r="C16" s="3">
        <v>21.1</v>
      </c>
      <c r="D16" s="3">
        <v>95.2</v>
      </c>
      <c r="E16" s="3">
        <v>21.1</v>
      </c>
      <c r="F16" s="3">
        <v>0</v>
      </c>
      <c r="G16" t="s">
        <v>820</v>
      </c>
      <c r="H16" t="s">
        <v>821</v>
      </c>
      <c r="I16" t="s">
        <v>820</v>
      </c>
      <c r="J16" t="s">
        <v>821</v>
      </c>
      <c r="K16" t="s">
        <v>820</v>
      </c>
    </row>
    <row r="17" spans="1:11">
      <c r="A17" t="s">
        <v>38</v>
      </c>
      <c r="B17" s="3">
        <v>0</v>
      </c>
      <c r="C17" s="3">
        <v>25.3</v>
      </c>
      <c r="D17" s="3">
        <v>95.2</v>
      </c>
      <c r="E17" s="3">
        <v>25.3</v>
      </c>
      <c r="F17" s="3">
        <v>0</v>
      </c>
      <c r="G17" t="s">
        <v>820</v>
      </c>
      <c r="H17" t="s">
        <v>821</v>
      </c>
      <c r="I17" t="s">
        <v>820</v>
      </c>
      <c r="J17" t="s">
        <v>821</v>
      </c>
      <c r="K17" t="s">
        <v>820</v>
      </c>
    </row>
    <row r="18" spans="1:11">
      <c r="A18" t="s">
        <v>40</v>
      </c>
      <c r="B18" s="3">
        <v>0</v>
      </c>
      <c r="C18" s="3">
        <v>11.8</v>
      </c>
      <c r="D18" s="3">
        <v>94.8</v>
      </c>
      <c r="E18" s="3">
        <v>11.8</v>
      </c>
      <c r="F18" s="3">
        <v>0</v>
      </c>
      <c r="G18" t="s">
        <v>820</v>
      </c>
      <c r="H18" t="s">
        <v>821</v>
      </c>
      <c r="I18" t="s">
        <v>820</v>
      </c>
      <c r="J18" t="s">
        <v>821</v>
      </c>
      <c r="K18" t="s">
        <v>820</v>
      </c>
    </row>
    <row r="19" spans="1:11">
      <c r="A19" t="s">
        <v>42</v>
      </c>
      <c r="B19" s="3">
        <v>0</v>
      </c>
      <c r="C19" s="3">
        <v>27.3</v>
      </c>
      <c r="D19" s="3">
        <v>95.09999999999999</v>
      </c>
      <c r="E19" s="3">
        <v>27.3</v>
      </c>
      <c r="F19" s="3">
        <v>0</v>
      </c>
      <c r="G19" t="s">
        <v>820</v>
      </c>
      <c r="H19" t="s">
        <v>820</v>
      </c>
      <c r="I19" t="s">
        <v>820</v>
      </c>
      <c r="J19" t="s">
        <v>820</v>
      </c>
      <c r="K19" t="s">
        <v>820</v>
      </c>
    </row>
    <row r="20" spans="1:11">
      <c r="A20" t="s">
        <v>44</v>
      </c>
      <c r="B20" s="3">
        <v>0</v>
      </c>
      <c r="C20" s="3">
        <v>14.3</v>
      </c>
      <c r="D20" s="3">
        <v>94.7</v>
      </c>
      <c r="E20" s="3">
        <v>14.3</v>
      </c>
      <c r="F20" s="3">
        <v>0</v>
      </c>
      <c r="G20" t="s">
        <v>820</v>
      </c>
      <c r="H20" t="s">
        <v>821</v>
      </c>
      <c r="I20" t="s">
        <v>820</v>
      </c>
      <c r="J20" t="s">
        <v>821</v>
      </c>
      <c r="K20" t="s">
        <v>820</v>
      </c>
    </row>
    <row r="21" spans="1:11">
      <c r="A21" t="s">
        <v>46</v>
      </c>
      <c r="B21" s="3">
        <v>0</v>
      </c>
      <c r="C21" s="3">
        <v>0</v>
      </c>
      <c r="D21" s="3">
        <v>94.40000000000001</v>
      </c>
      <c r="E21" s="3">
        <v>0</v>
      </c>
      <c r="F21" s="3">
        <v>0</v>
      </c>
      <c r="G21" t="s">
        <v>820</v>
      </c>
      <c r="H21" t="s">
        <v>821</v>
      </c>
      <c r="I21" t="s">
        <v>820</v>
      </c>
      <c r="J21" t="s">
        <v>821</v>
      </c>
      <c r="K21" t="s">
        <v>820</v>
      </c>
    </row>
    <row r="22" spans="1:11">
      <c r="A22" t="s">
        <v>48</v>
      </c>
      <c r="B22" s="3">
        <v>0</v>
      </c>
      <c r="C22" s="3">
        <v>0</v>
      </c>
      <c r="D22" s="3">
        <v>93.5</v>
      </c>
      <c r="E22" s="3">
        <v>0</v>
      </c>
      <c r="F22" s="3">
        <v>0</v>
      </c>
      <c r="G22" t="s">
        <v>820</v>
      </c>
      <c r="H22" t="s">
        <v>821</v>
      </c>
      <c r="I22" t="s">
        <v>820</v>
      </c>
      <c r="J22" t="s">
        <v>821</v>
      </c>
      <c r="K22" t="s">
        <v>820</v>
      </c>
    </row>
    <row r="23" spans="1:11">
      <c r="A23" t="s">
        <v>50</v>
      </c>
      <c r="B23" s="3">
        <v>0</v>
      </c>
      <c r="C23" s="3">
        <v>0</v>
      </c>
      <c r="D23" s="3">
        <v>93.8</v>
      </c>
      <c r="E23" s="3">
        <v>0</v>
      </c>
      <c r="F23" s="3">
        <v>0</v>
      </c>
      <c r="G23" t="s">
        <v>820</v>
      </c>
      <c r="H23" t="s">
        <v>821</v>
      </c>
      <c r="I23" t="s">
        <v>820</v>
      </c>
      <c r="J23" t="s">
        <v>821</v>
      </c>
      <c r="K23" t="s">
        <v>820</v>
      </c>
    </row>
    <row r="24" spans="1:11">
      <c r="A24" t="s">
        <v>52</v>
      </c>
      <c r="B24" s="3">
        <v>0</v>
      </c>
      <c r="C24" s="3">
        <v>31.1</v>
      </c>
      <c r="D24" s="3">
        <v>95.3</v>
      </c>
      <c r="E24" s="3">
        <v>31.1</v>
      </c>
      <c r="F24" s="3">
        <v>0</v>
      </c>
      <c r="G24" t="s">
        <v>820</v>
      </c>
      <c r="H24" t="s">
        <v>822</v>
      </c>
      <c r="I24" t="s">
        <v>820</v>
      </c>
      <c r="J24" t="s">
        <v>822</v>
      </c>
      <c r="K24" t="s">
        <v>820</v>
      </c>
    </row>
    <row r="25" spans="1:11">
      <c r="A25" t="s">
        <v>54</v>
      </c>
      <c r="B25" s="3">
        <v>0</v>
      </c>
      <c r="C25" s="3">
        <v>7.7</v>
      </c>
      <c r="D25" s="3">
        <v>94.8</v>
      </c>
      <c r="E25" s="3">
        <v>7.7</v>
      </c>
      <c r="F25" s="3">
        <v>0</v>
      </c>
      <c r="G25" t="s">
        <v>820</v>
      </c>
      <c r="H25" t="s">
        <v>820</v>
      </c>
      <c r="I25" t="s">
        <v>820</v>
      </c>
      <c r="J25" t="s">
        <v>820</v>
      </c>
      <c r="K25" t="s">
        <v>820</v>
      </c>
    </row>
    <row r="26" spans="1:11">
      <c r="A26" t="s">
        <v>56</v>
      </c>
      <c r="B26" s="3">
        <v>0</v>
      </c>
      <c r="C26" s="3">
        <v>18</v>
      </c>
      <c r="D26" s="3">
        <v>94.8</v>
      </c>
      <c r="E26" s="3">
        <v>18</v>
      </c>
      <c r="F26" s="3">
        <v>0</v>
      </c>
      <c r="G26" t="s">
        <v>820</v>
      </c>
      <c r="H26" t="s">
        <v>822</v>
      </c>
      <c r="I26" t="s">
        <v>820</v>
      </c>
      <c r="J26" t="s">
        <v>822</v>
      </c>
      <c r="K26" t="s">
        <v>820</v>
      </c>
    </row>
    <row r="27" spans="1:11">
      <c r="A27" t="s">
        <v>58</v>
      </c>
      <c r="B27" s="3">
        <v>0</v>
      </c>
      <c r="C27" s="3">
        <v>10.4</v>
      </c>
      <c r="D27" s="3">
        <v>95</v>
      </c>
      <c r="E27" s="3">
        <v>10.4</v>
      </c>
      <c r="F27" s="3">
        <v>0</v>
      </c>
      <c r="G27" t="s">
        <v>820</v>
      </c>
      <c r="H27" t="s">
        <v>821</v>
      </c>
      <c r="I27" t="s">
        <v>820</v>
      </c>
      <c r="J27" t="s">
        <v>821</v>
      </c>
      <c r="K27" t="s">
        <v>820</v>
      </c>
    </row>
    <row r="28" spans="1:11">
      <c r="A28" t="s">
        <v>60</v>
      </c>
      <c r="B28" s="3">
        <v>0</v>
      </c>
      <c r="C28" s="3">
        <v>36.9</v>
      </c>
      <c r="D28" s="3">
        <v>95.3</v>
      </c>
      <c r="E28" s="3">
        <v>36.9</v>
      </c>
      <c r="F28" s="3">
        <v>0</v>
      </c>
      <c r="G28" t="s">
        <v>820</v>
      </c>
      <c r="H28" t="s">
        <v>822</v>
      </c>
      <c r="I28" t="s">
        <v>820</v>
      </c>
      <c r="J28" t="s">
        <v>822</v>
      </c>
      <c r="K28" t="s">
        <v>820</v>
      </c>
    </row>
    <row r="29" spans="1:11">
      <c r="A29" t="s">
        <v>62</v>
      </c>
      <c r="B29" s="3">
        <v>0</v>
      </c>
      <c r="C29" s="3">
        <v>0</v>
      </c>
      <c r="D29" s="3">
        <v>94.3</v>
      </c>
      <c r="E29" s="3">
        <v>0</v>
      </c>
      <c r="F29" s="3">
        <v>0</v>
      </c>
      <c r="G29" t="s">
        <v>820</v>
      </c>
      <c r="H29" t="s">
        <v>821</v>
      </c>
      <c r="I29" t="s">
        <v>820</v>
      </c>
      <c r="J29" t="s">
        <v>821</v>
      </c>
      <c r="K29" t="s">
        <v>820</v>
      </c>
    </row>
    <row r="30" spans="1:11">
      <c r="A30" t="s">
        <v>64</v>
      </c>
      <c r="B30" s="3">
        <v>0</v>
      </c>
      <c r="C30" s="3">
        <v>29.6</v>
      </c>
      <c r="D30" s="3">
        <v>94.8</v>
      </c>
      <c r="E30" s="3">
        <v>29.6</v>
      </c>
      <c r="F30" s="3">
        <v>0</v>
      </c>
      <c r="G30" t="s">
        <v>820</v>
      </c>
      <c r="H30" t="s">
        <v>822</v>
      </c>
      <c r="I30" t="s">
        <v>820</v>
      </c>
      <c r="J30" t="s">
        <v>822</v>
      </c>
      <c r="K30" t="s">
        <v>820</v>
      </c>
    </row>
    <row r="31" spans="1:11">
      <c r="A31" t="s">
        <v>66</v>
      </c>
      <c r="B31" s="3">
        <v>0</v>
      </c>
      <c r="C31" s="3">
        <v>12.6</v>
      </c>
      <c r="D31" s="3">
        <v>94.3</v>
      </c>
      <c r="E31" s="3">
        <v>12.6</v>
      </c>
      <c r="F31" s="3">
        <v>0</v>
      </c>
      <c r="G31" t="s">
        <v>820</v>
      </c>
      <c r="H31" t="s">
        <v>821</v>
      </c>
      <c r="I31" t="s">
        <v>820</v>
      </c>
      <c r="J31" t="s">
        <v>821</v>
      </c>
      <c r="K31" t="s">
        <v>820</v>
      </c>
    </row>
    <row r="32" spans="1:11">
      <c r="A32" t="s">
        <v>68</v>
      </c>
      <c r="B32" s="3">
        <v>0</v>
      </c>
      <c r="C32" s="3">
        <v>0.2</v>
      </c>
      <c r="D32" s="3">
        <v>94</v>
      </c>
      <c r="E32" s="3">
        <v>0.2</v>
      </c>
      <c r="F32" s="3">
        <v>0</v>
      </c>
      <c r="G32" t="s">
        <v>820</v>
      </c>
      <c r="H32" t="s">
        <v>821</v>
      </c>
      <c r="I32" t="s">
        <v>820</v>
      </c>
      <c r="J32" t="s">
        <v>821</v>
      </c>
      <c r="K32" t="s">
        <v>820</v>
      </c>
    </row>
    <row r="33" spans="1:11">
      <c r="A33" t="s">
        <v>70</v>
      </c>
      <c r="B33" s="3">
        <v>0</v>
      </c>
      <c r="C33" s="3">
        <v>16</v>
      </c>
      <c r="D33" s="3">
        <v>94.3</v>
      </c>
      <c r="E33" s="3">
        <v>16</v>
      </c>
      <c r="F33" s="3">
        <v>0</v>
      </c>
      <c r="G33" t="s">
        <v>820</v>
      </c>
      <c r="H33" t="s">
        <v>822</v>
      </c>
      <c r="I33" t="s">
        <v>820</v>
      </c>
      <c r="J33" t="s">
        <v>822</v>
      </c>
      <c r="K33" t="s">
        <v>820</v>
      </c>
    </row>
    <row r="34" spans="1:11">
      <c r="A34" t="s">
        <v>72</v>
      </c>
      <c r="B34" s="3">
        <v>0</v>
      </c>
      <c r="C34" s="3">
        <v>22.5</v>
      </c>
      <c r="D34" s="3">
        <v>94.8</v>
      </c>
      <c r="E34" s="3">
        <v>22.5</v>
      </c>
      <c r="F34" s="3">
        <v>0</v>
      </c>
      <c r="G34" t="s">
        <v>820</v>
      </c>
      <c r="H34" t="s">
        <v>822</v>
      </c>
      <c r="I34" t="s">
        <v>820</v>
      </c>
      <c r="J34" t="s">
        <v>822</v>
      </c>
      <c r="K34" t="s">
        <v>820</v>
      </c>
    </row>
    <row r="35" spans="1:11">
      <c r="A35" t="s">
        <v>74</v>
      </c>
      <c r="B35" s="3">
        <v>0</v>
      </c>
      <c r="C35" s="3">
        <v>39.7</v>
      </c>
      <c r="D35" s="3">
        <v>95.40000000000001</v>
      </c>
      <c r="E35" s="3">
        <v>39.7</v>
      </c>
      <c r="F35" s="3">
        <v>0</v>
      </c>
      <c r="G35" t="s">
        <v>820</v>
      </c>
      <c r="H35" t="s">
        <v>822</v>
      </c>
      <c r="I35" t="s">
        <v>820</v>
      </c>
      <c r="J35" t="s">
        <v>822</v>
      </c>
      <c r="K35" t="s">
        <v>820</v>
      </c>
    </row>
    <row r="36" spans="1:11">
      <c r="A36" t="s">
        <v>76</v>
      </c>
      <c r="B36" s="3">
        <v>0</v>
      </c>
      <c r="C36" s="3">
        <v>26.7</v>
      </c>
      <c r="D36" s="3">
        <v>94.5</v>
      </c>
      <c r="E36" s="3">
        <v>26.7</v>
      </c>
      <c r="F36" s="3">
        <v>0</v>
      </c>
      <c r="G36" t="s">
        <v>820</v>
      </c>
      <c r="H36" t="s">
        <v>822</v>
      </c>
      <c r="I36" t="s">
        <v>820</v>
      </c>
      <c r="J36" t="s">
        <v>822</v>
      </c>
      <c r="K36" t="s">
        <v>820</v>
      </c>
    </row>
    <row r="37" spans="1:11">
      <c r="A37" t="s">
        <v>78</v>
      </c>
      <c r="B37" s="3">
        <v>0</v>
      </c>
      <c r="C37" s="3">
        <v>36.6</v>
      </c>
      <c r="D37" s="3">
        <v>95.2</v>
      </c>
      <c r="E37" s="3">
        <v>36.6</v>
      </c>
      <c r="F37" s="3">
        <v>0</v>
      </c>
      <c r="G37" t="s">
        <v>820</v>
      </c>
      <c r="H37" t="s">
        <v>822</v>
      </c>
      <c r="I37" t="s">
        <v>820</v>
      </c>
      <c r="J37" t="s">
        <v>822</v>
      </c>
      <c r="K37" t="s">
        <v>820</v>
      </c>
    </row>
    <row r="38" spans="1:11">
      <c r="A38" t="s">
        <v>80</v>
      </c>
      <c r="B38" s="3">
        <v>0</v>
      </c>
      <c r="C38" s="3">
        <v>22.9</v>
      </c>
      <c r="D38" s="3">
        <v>94.8</v>
      </c>
      <c r="E38" s="3">
        <v>22.9</v>
      </c>
      <c r="F38" s="3">
        <v>0</v>
      </c>
      <c r="G38" t="s">
        <v>820</v>
      </c>
      <c r="H38" t="s">
        <v>821</v>
      </c>
      <c r="I38" t="s">
        <v>820</v>
      </c>
      <c r="J38" t="s">
        <v>821</v>
      </c>
      <c r="K38" t="s">
        <v>820</v>
      </c>
    </row>
    <row r="39" spans="1:11">
      <c r="A39" t="s">
        <v>82</v>
      </c>
      <c r="B39" s="3">
        <v>0</v>
      </c>
      <c r="C39" s="3">
        <v>29.6</v>
      </c>
      <c r="D39" s="3">
        <v>94.3</v>
      </c>
      <c r="E39" s="3">
        <v>29.6</v>
      </c>
      <c r="F39" s="3">
        <v>0</v>
      </c>
      <c r="G39" t="s">
        <v>820</v>
      </c>
      <c r="H39" t="s">
        <v>820</v>
      </c>
      <c r="I39" t="s">
        <v>820</v>
      </c>
      <c r="J39" t="s">
        <v>820</v>
      </c>
      <c r="K39" t="s">
        <v>820</v>
      </c>
    </row>
    <row r="40" spans="1:11">
      <c r="A40" t="s">
        <v>84</v>
      </c>
      <c r="B40" s="3">
        <v>0</v>
      </c>
      <c r="C40" s="3">
        <v>27.7</v>
      </c>
      <c r="D40" s="3">
        <v>94.2</v>
      </c>
      <c r="E40" s="3">
        <v>27.7</v>
      </c>
      <c r="F40" s="3">
        <v>0</v>
      </c>
      <c r="G40" t="s">
        <v>820</v>
      </c>
      <c r="H40" t="s">
        <v>820</v>
      </c>
      <c r="I40" t="s">
        <v>820</v>
      </c>
      <c r="J40" t="s">
        <v>820</v>
      </c>
      <c r="K40" t="s">
        <v>820</v>
      </c>
    </row>
    <row r="41" spans="1:11">
      <c r="A41" t="s">
        <v>86</v>
      </c>
      <c r="B41" s="3">
        <v>0</v>
      </c>
      <c r="C41" s="3">
        <v>18</v>
      </c>
      <c r="D41" s="3">
        <v>93.2</v>
      </c>
      <c r="E41" s="3">
        <v>18</v>
      </c>
      <c r="F41" s="3">
        <v>0</v>
      </c>
      <c r="G41" t="s">
        <v>820</v>
      </c>
      <c r="H41" t="s">
        <v>821</v>
      </c>
      <c r="I41" t="s">
        <v>820</v>
      </c>
      <c r="J41" t="s">
        <v>821</v>
      </c>
      <c r="K41" t="s">
        <v>820</v>
      </c>
    </row>
    <row r="42" spans="1:11">
      <c r="A42" t="s">
        <v>88</v>
      </c>
      <c r="B42" s="3">
        <v>0</v>
      </c>
      <c r="C42" s="3">
        <v>36.9</v>
      </c>
      <c r="D42" s="3">
        <v>94.2</v>
      </c>
      <c r="E42" s="3">
        <v>36.9</v>
      </c>
      <c r="F42" s="3">
        <v>0</v>
      </c>
      <c r="G42" t="s">
        <v>820</v>
      </c>
      <c r="H42" t="s">
        <v>822</v>
      </c>
      <c r="I42" t="s">
        <v>820</v>
      </c>
      <c r="J42" t="s">
        <v>822</v>
      </c>
      <c r="K42" t="s">
        <v>820</v>
      </c>
    </row>
    <row r="43" spans="1:11">
      <c r="A43" t="s">
        <v>90</v>
      </c>
      <c r="B43" s="3">
        <v>0</v>
      </c>
      <c r="C43" s="3">
        <v>37.9</v>
      </c>
      <c r="D43" s="3">
        <v>94.7</v>
      </c>
      <c r="E43" s="3">
        <v>37.9</v>
      </c>
      <c r="F43" s="3">
        <v>0</v>
      </c>
      <c r="G43" t="s">
        <v>820</v>
      </c>
      <c r="H43" t="s">
        <v>822</v>
      </c>
      <c r="I43" t="s">
        <v>820</v>
      </c>
      <c r="J43" t="s">
        <v>822</v>
      </c>
      <c r="K43" t="s">
        <v>820</v>
      </c>
    </row>
    <row r="44" spans="1:11">
      <c r="A44" t="s">
        <v>92</v>
      </c>
      <c r="B44" s="3">
        <v>0</v>
      </c>
      <c r="C44" s="3">
        <v>32.6</v>
      </c>
      <c r="D44" s="3">
        <v>94.40000000000001</v>
      </c>
      <c r="E44" s="3">
        <v>32.6</v>
      </c>
      <c r="F44" s="3">
        <v>0</v>
      </c>
      <c r="G44" t="s">
        <v>820</v>
      </c>
      <c r="H44" t="s">
        <v>820</v>
      </c>
      <c r="I44" t="s">
        <v>820</v>
      </c>
      <c r="J44" t="s">
        <v>820</v>
      </c>
      <c r="K44" t="s">
        <v>820</v>
      </c>
    </row>
    <row r="45" spans="1:11">
      <c r="A45" t="s">
        <v>94</v>
      </c>
      <c r="B45" s="3">
        <v>0</v>
      </c>
      <c r="C45" s="3">
        <v>45</v>
      </c>
      <c r="D45" s="3">
        <v>94.7</v>
      </c>
      <c r="E45" s="3">
        <v>45</v>
      </c>
      <c r="F45" s="3">
        <v>0</v>
      </c>
      <c r="G45" t="s">
        <v>820</v>
      </c>
      <c r="H45" t="s">
        <v>822</v>
      </c>
      <c r="I45" t="s">
        <v>820</v>
      </c>
      <c r="J45" t="s">
        <v>822</v>
      </c>
      <c r="K45" t="s">
        <v>820</v>
      </c>
    </row>
    <row r="46" spans="1:11">
      <c r="A46" t="s">
        <v>96</v>
      </c>
      <c r="B46" s="3">
        <v>0</v>
      </c>
      <c r="C46" s="3">
        <v>49.6</v>
      </c>
      <c r="D46" s="3">
        <v>95.09999999999999</v>
      </c>
      <c r="E46" s="3">
        <v>49.6</v>
      </c>
      <c r="F46" s="3">
        <v>0</v>
      </c>
      <c r="G46" t="s">
        <v>820</v>
      </c>
      <c r="H46" t="s">
        <v>822</v>
      </c>
      <c r="I46" t="s">
        <v>820</v>
      </c>
      <c r="J46" t="s">
        <v>822</v>
      </c>
      <c r="K46" t="s">
        <v>820</v>
      </c>
    </row>
    <row r="47" spans="1:11">
      <c r="A47" t="s">
        <v>98</v>
      </c>
      <c r="B47" s="3">
        <v>0</v>
      </c>
      <c r="C47" s="3">
        <v>35.8</v>
      </c>
      <c r="D47" s="3">
        <v>94.8</v>
      </c>
      <c r="E47" s="3">
        <v>35.8</v>
      </c>
      <c r="F47" s="3">
        <v>0</v>
      </c>
      <c r="G47" t="s">
        <v>820</v>
      </c>
      <c r="H47" t="s">
        <v>821</v>
      </c>
      <c r="I47" t="s">
        <v>820</v>
      </c>
      <c r="J47" t="s">
        <v>821</v>
      </c>
      <c r="K47" t="s">
        <v>820</v>
      </c>
    </row>
    <row r="48" spans="1:11">
      <c r="A48" t="s">
        <v>100</v>
      </c>
      <c r="B48" s="3">
        <v>0</v>
      </c>
      <c r="C48" s="3">
        <v>41</v>
      </c>
      <c r="D48" s="3">
        <v>95</v>
      </c>
      <c r="E48" s="3">
        <v>41</v>
      </c>
      <c r="F48" s="3">
        <v>0</v>
      </c>
      <c r="G48" t="s">
        <v>820</v>
      </c>
      <c r="H48" t="s">
        <v>820</v>
      </c>
      <c r="I48" t="s">
        <v>820</v>
      </c>
      <c r="J48" t="s">
        <v>820</v>
      </c>
      <c r="K48" t="s">
        <v>820</v>
      </c>
    </row>
    <row r="49" spans="1:11">
      <c r="A49" t="s">
        <v>102</v>
      </c>
      <c r="B49" s="3">
        <v>0</v>
      </c>
      <c r="C49" s="3">
        <v>34.7</v>
      </c>
      <c r="D49" s="3">
        <v>94.7</v>
      </c>
      <c r="E49" s="3">
        <v>34.7</v>
      </c>
      <c r="F49" s="3">
        <v>0</v>
      </c>
      <c r="G49" t="s">
        <v>820</v>
      </c>
      <c r="H49" t="s">
        <v>821</v>
      </c>
      <c r="I49" t="s">
        <v>820</v>
      </c>
      <c r="J49" t="s">
        <v>821</v>
      </c>
      <c r="K49" t="s">
        <v>820</v>
      </c>
    </row>
    <row r="50" spans="1:11">
      <c r="A50" t="s">
        <v>104</v>
      </c>
      <c r="B50" s="3">
        <v>0</v>
      </c>
      <c r="C50" s="3">
        <v>47.4</v>
      </c>
      <c r="D50" s="3">
        <v>95.3</v>
      </c>
      <c r="E50" s="3">
        <v>47.4</v>
      </c>
      <c r="F50" s="3">
        <v>0</v>
      </c>
      <c r="G50" t="s">
        <v>820</v>
      </c>
      <c r="H50" t="s">
        <v>822</v>
      </c>
      <c r="I50" t="s">
        <v>820</v>
      </c>
      <c r="J50" t="s">
        <v>822</v>
      </c>
      <c r="K50" t="s">
        <v>820</v>
      </c>
    </row>
    <row r="51" spans="1:11">
      <c r="A51" t="s">
        <v>106</v>
      </c>
      <c r="B51" s="3">
        <v>0</v>
      </c>
      <c r="C51" s="3">
        <v>27.7</v>
      </c>
      <c r="D51" s="3">
        <v>94.8</v>
      </c>
      <c r="E51" s="3">
        <v>27.7</v>
      </c>
      <c r="F51" s="3">
        <v>0</v>
      </c>
      <c r="G51" t="s">
        <v>820</v>
      </c>
      <c r="H51" t="s">
        <v>821</v>
      </c>
      <c r="I51" t="s">
        <v>820</v>
      </c>
      <c r="J51" t="s">
        <v>821</v>
      </c>
      <c r="K51" t="s">
        <v>820</v>
      </c>
    </row>
    <row r="52" spans="1:11">
      <c r="A52" t="s">
        <v>108</v>
      </c>
      <c r="B52" s="3">
        <v>0</v>
      </c>
      <c r="C52" s="3">
        <v>49.8</v>
      </c>
      <c r="D52" s="3">
        <v>95.3</v>
      </c>
      <c r="E52" s="3">
        <v>49.8</v>
      </c>
      <c r="F52" s="3">
        <v>0</v>
      </c>
      <c r="G52" t="s">
        <v>820</v>
      </c>
      <c r="H52" t="s">
        <v>822</v>
      </c>
      <c r="I52" t="s">
        <v>820</v>
      </c>
      <c r="J52" t="s">
        <v>822</v>
      </c>
      <c r="K52" t="s">
        <v>820</v>
      </c>
    </row>
    <row r="53" spans="1:11">
      <c r="A53" t="s">
        <v>110</v>
      </c>
      <c r="B53" s="3">
        <v>0</v>
      </c>
      <c r="C53" s="3">
        <v>49.6</v>
      </c>
      <c r="D53" s="3">
        <v>95.2</v>
      </c>
      <c r="E53" s="3">
        <v>49.6</v>
      </c>
      <c r="F53" s="3">
        <v>0</v>
      </c>
      <c r="G53" t="s">
        <v>820</v>
      </c>
      <c r="H53" t="s">
        <v>822</v>
      </c>
      <c r="I53" t="s">
        <v>820</v>
      </c>
      <c r="J53" t="s">
        <v>822</v>
      </c>
      <c r="K53" t="s">
        <v>820</v>
      </c>
    </row>
    <row r="54" spans="1:11">
      <c r="A54" t="s">
        <v>112</v>
      </c>
      <c r="B54" s="3">
        <v>0</v>
      </c>
      <c r="C54" s="3">
        <v>35.8</v>
      </c>
      <c r="D54" s="3">
        <v>94.40000000000001</v>
      </c>
      <c r="E54" s="3">
        <v>35.8</v>
      </c>
      <c r="F54" s="3">
        <v>0</v>
      </c>
      <c r="G54" t="s">
        <v>820</v>
      </c>
      <c r="H54" t="s">
        <v>821</v>
      </c>
      <c r="I54" t="s">
        <v>820</v>
      </c>
      <c r="J54" t="s">
        <v>821</v>
      </c>
      <c r="K54" t="s">
        <v>820</v>
      </c>
    </row>
    <row r="55" spans="1:11">
      <c r="A55" t="s">
        <v>114</v>
      </c>
      <c r="B55" s="3">
        <v>0</v>
      </c>
      <c r="C55" s="3">
        <v>37.4</v>
      </c>
      <c r="D55" s="3">
        <v>94.40000000000001</v>
      </c>
      <c r="E55" s="3">
        <v>37.4</v>
      </c>
      <c r="F55" s="3">
        <v>0</v>
      </c>
      <c r="G55" t="s">
        <v>820</v>
      </c>
      <c r="H55" t="s">
        <v>821</v>
      </c>
      <c r="I55" t="s">
        <v>820</v>
      </c>
      <c r="J55" t="s">
        <v>821</v>
      </c>
      <c r="K55" t="s">
        <v>820</v>
      </c>
    </row>
    <row r="56" spans="1:11">
      <c r="A56" t="s">
        <v>116</v>
      </c>
      <c r="B56" s="3">
        <v>0</v>
      </c>
      <c r="C56" s="3">
        <v>36.9</v>
      </c>
      <c r="D56" s="3">
        <v>94.8</v>
      </c>
      <c r="E56" s="3">
        <v>36.9</v>
      </c>
      <c r="F56" s="3">
        <v>0</v>
      </c>
      <c r="G56" t="s">
        <v>820</v>
      </c>
      <c r="H56" t="s">
        <v>821</v>
      </c>
      <c r="I56" t="s">
        <v>820</v>
      </c>
      <c r="J56" t="s">
        <v>821</v>
      </c>
      <c r="K56" t="s">
        <v>820</v>
      </c>
    </row>
    <row r="57" spans="1:11">
      <c r="A57" t="s">
        <v>118</v>
      </c>
      <c r="B57" s="3">
        <v>0</v>
      </c>
      <c r="C57" s="3">
        <v>43.8</v>
      </c>
      <c r="D57" s="3">
        <v>95.09999999999999</v>
      </c>
      <c r="E57" s="3">
        <v>43.8</v>
      </c>
      <c r="F57" s="3">
        <v>0</v>
      </c>
      <c r="G57" t="s">
        <v>820</v>
      </c>
      <c r="H57" t="s">
        <v>822</v>
      </c>
      <c r="I57" t="s">
        <v>820</v>
      </c>
      <c r="J57" t="s">
        <v>822</v>
      </c>
      <c r="K57" t="s">
        <v>820</v>
      </c>
    </row>
    <row r="58" spans="1:11">
      <c r="A58" t="s">
        <v>120</v>
      </c>
      <c r="B58" s="3">
        <v>0</v>
      </c>
      <c r="C58" s="3">
        <v>28</v>
      </c>
      <c r="D58" s="3">
        <v>93.7</v>
      </c>
      <c r="E58" s="3">
        <v>28</v>
      </c>
      <c r="F58" s="3">
        <v>0</v>
      </c>
      <c r="G58" t="s">
        <v>820</v>
      </c>
      <c r="H58" t="s">
        <v>821</v>
      </c>
      <c r="I58" t="s">
        <v>820</v>
      </c>
      <c r="J58" t="s">
        <v>821</v>
      </c>
      <c r="K58" t="s">
        <v>820</v>
      </c>
    </row>
    <row r="59" spans="1:11">
      <c r="A59" t="s">
        <v>122</v>
      </c>
      <c r="B59" s="3">
        <v>0</v>
      </c>
      <c r="C59" s="3">
        <v>27.3</v>
      </c>
      <c r="D59" s="3">
        <v>93.09999999999999</v>
      </c>
      <c r="E59" s="3">
        <v>27.3</v>
      </c>
      <c r="F59" s="3">
        <v>0</v>
      </c>
      <c r="G59" t="s">
        <v>820</v>
      </c>
      <c r="H59" t="s">
        <v>821</v>
      </c>
      <c r="I59" t="s">
        <v>820</v>
      </c>
      <c r="J59" t="s">
        <v>821</v>
      </c>
      <c r="K59" t="s">
        <v>820</v>
      </c>
    </row>
    <row r="60" spans="1:11">
      <c r="A60" t="s">
        <v>124</v>
      </c>
      <c r="B60" s="3">
        <v>0</v>
      </c>
      <c r="C60" s="3">
        <v>16.8</v>
      </c>
      <c r="D60" s="3">
        <v>92.59999999999999</v>
      </c>
      <c r="E60" s="3">
        <v>16.8</v>
      </c>
      <c r="F60" s="3">
        <v>0</v>
      </c>
      <c r="G60" t="s">
        <v>820</v>
      </c>
      <c r="H60" t="s">
        <v>821</v>
      </c>
      <c r="I60" t="s">
        <v>820</v>
      </c>
      <c r="J60" t="s">
        <v>821</v>
      </c>
      <c r="K60" t="s">
        <v>820</v>
      </c>
    </row>
    <row r="61" spans="1:11">
      <c r="A61" t="s">
        <v>126</v>
      </c>
      <c r="B61" s="3">
        <v>0</v>
      </c>
      <c r="C61" s="3">
        <v>17.2</v>
      </c>
      <c r="D61" s="3">
        <v>92.3</v>
      </c>
      <c r="E61" s="3">
        <v>17.2</v>
      </c>
      <c r="F61" s="3">
        <v>0</v>
      </c>
      <c r="G61" t="s">
        <v>820</v>
      </c>
      <c r="H61" t="s">
        <v>821</v>
      </c>
      <c r="I61" t="s">
        <v>820</v>
      </c>
      <c r="J61" t="s">
        <v>821</v>
      </c>
      <c r="K61" t="s">
        <v>820</v>
      </c>
    </row>
    <row r="62" spans="1:11">
      <c r="A62" t="s">
        <v>128</v>
      </c>
      <c r="B62" s="3">
        <v>0</v>
      </c>
      <c r="C62" s="3">
        <v>14.3</v>
      </c>
      <c r="D62" s="3">
        <v>90.8</v>
      </c>
      <c r="E62" s="3">
        <v>14.3</v>
      </c>
      <c r="F62" s="3">
        <v>0</v>
      </c>
      <c r="G62" t="s">
        <v>820</v>
      </c>
      <c r="H62" t="s">
        <v>821</v>
      </c>
      <c r="I62" t="s">
        <v>820</v>
      </c>
      <c r="J62" t="s">
        <v>821</v>
      </c>
      <c r="K62" t="s">
        <v>820</v>
      </c>
    </row>
    <row r="63" spans="1:11">
      <c r="A63" t="s">
        <v>130</v>
      </c>
      <c r="B63" s="3">
        <v>0</v>
      </c>
      <c r="C63" s="3">
        <v>40.3</v>
      </c>
      <c r="D63" s="3">
        <v>92.59999999999999</v>
      </c>
      <c r="E63" s="3">
        <v>40.3</v>
      </c>
      <c r="F63" s="3">
        <v>0</v>
      </c>
      <c r="G63" t="s">
        <v>820</v>
      </c>
      <c r="H63" t="s">
        <v>822</v>
      </c>
      <c r="I63" t="s">
        <v>820</v>
      </c>
      <c r="J63" t="s">
        <v>822</v>
      </c>
      <c r="K63" t="s">
        <v>820</v>
      </c>
    </row>
    <row r="64" spans="1:11">
      <c r="A64" t="s">
        <v>132</v>
      </c>
      <c r="B64" s="3">
        <v>0</v>
      </c>
      <c r="C64" s="3">
        <v>26.3</v>
      </c>
      <c r="D64" s="3">
        <v>92.09999999999999</v>
      </c>
      <c r="E64" s="3">
        <v>26.3</v>
      </c>
      <c r="F64" s="3">
        <v>0</v>
      </c>
      <c r="G64" t="s">
        <v>820</v>
      </c>
      <c r="H64" t="s">
        <v>822</v>
      </c>
      <c r="I64" t="s">
        <v>820</v>
      </c>
      <c r="J64" t="s">
        <v>822</v>
      </c>
      <c r="K64" t="s">
        <v>820</v>
      </c>
    </row>
    <row r="65" spans="1:11">
      <c r="A65" t="s">
        <v>134</v>
      </c>
      <c r="B65" s="3">
        <v>0</v>
      </c>
      <c r="C65" s="3">
        <v>30.5</v>
      </c>
      <c r="D65" s="3">
        <v>91.8</v>
      </c>
      <c r="E65" s="3">
        <v>30.5</v>
      </c>
      <c r="F65" s="3">
        <v>0</v>
      </c>
      <c r="G65" t="s">
        <v>820</v>
      </c>
      <c r="H65" t="s">
        <v>822</v>
      </c>
      <c r="I65" t="s">
        <v>820</v>
      </c>
      <c r="J65" t="s">
        <v>822</v>
      </c>
      <c r="K65" t="s">
        <v>820</v>
      </c>
    </row>
    <row r="66" spans="1:11">
      <c r="A66" t="s">
        <v>136</v>
      </c>
      <c r="B66" s="3">
        <v>0</v>
      </c>
      <c r="C66" s="3">
        <v>29.6</v>
      </c>
      <c r="D66" s="3">
        <v>92.40000000000001</v>
      </c>
      <c r="E66" s="3">
        <v>29.6</v>
      </c>
      <c r="F66" s="3">
        <v>0</v>
      </c>
      <c r="G66" t="s">
        <v>820</v>
      </c>
      <c r="H66" t="s">
        <v>820</v>
      </c>
      <c r="I66" t="s">
        <v>820</v>
      </c>
      <c r="J66" t="s">
        <v>820</v>
      </c>
      <c r="K66" t="s">
        <v>820</v>
      </c>
    </row>
    <row r="67" spans="1:11">
      <c r="A67" t="s">
        <v>138</v>
      </c>
      <c r="B67" s="3">
        <v>0</v>
      </c>
      <c r="C67" s="3">
        <v>27.3</v>
      </c>
      <c r="D67" s="3">
        <v>91.59999999999999</v>
      </c>
      <c r="E67" s="3">
        <v>27.3</v>
      </c>
      <c r="F67" s="3">
        <v>0</v>
      </c>
      <c r="G67" t="s">
        <v>820</v>
      </c>
      <c r="H67" t="s">
        <v>821</v>
      </c>
      <c r="I67" t="s">
        <v>820</v>
      </c>
      <c r="J67" t="s">
        <v>821</v>
      </c>
      <c r="K67" t="s">
        <v>820</v>
      </c>
    </row>
    <row r="68" spans="1:11">
      <c r="A68" t="s">
        <v>140</v>
      </c>
      <c r="B68" s="3">
        <v>0</v>
      </c>
      <c r="C68" s="3">
        <v>50.8</v>
      </c>
      <c r="D68" s="3">
        <v>93.8</v>
      </c>
      <c r="E68" s="3">
        <v>50.8</v>
      </c>
      <c r="F68" s="3">
        <v>0</v>
      </c>
      <c r="G68" t="s">
        <v>820</v>
      </c>
      <c r="H68" t="s">
        <v>822</v>
      </c>
      <c r="I68" t="s">
        <v>820</v>
      </c>
      <c r="J68" t="s">
        <v>822</v>
      </c>
      <c r="K68" t="s">
        <v>820</v>
      </c>
    </row>
    <row r="69" spans="1:11">
      <c r="A69" t="s">
        <v>142</v>
      </c>
      <c r="B69" s="3">
        <v>0</v>
      </c>
      <c r="C69" s="3">
        <v>51.6</v>
      </c>
      <c r="D69" s="3">
        <v>94.2</v>
      </c>
      <c r="E69" s="3">
        <v>51.6</v>
      </c>
      <c r="F69" s="3">
        <v>0</v>
      </c>
      <c r="G69" t="s">
        <v>820</v>
      </c>
      <c r="H69" t="s">
        <v>822</v>
      </c>
      <c r="I69" t="s">
        <v>820</v>
      </c>
      <c r="J69" t="s">
        <v>822</v>
      </c>
      <c r="K69" t="s">
        <v>820</v>
      </c>
    </row>
    <row r="70" spans="1:11">
      <c r="A70" t="s">
        <v>144</v>
      </c>
      <c r="B70" s="3">
        <v>0</v>
      </c>
      <c r="C70" s="3">
        <v>54.5</v>
      </c>
      <c r="D70" s="3">
        <v>94.2</v>
      </c>
      <c r="E70" s="3">
        <v>54.5</v>
      </c>
      <c r="F70" s="3">
        <v>0</v>
      </c>
      <c r="G70" t="s">
        <v>820</v>
      </c>
      <c r="H70" t="s">
        <v>822</v>
      </c>
      <c r="I70" t="s">
        <v>820</v>
      </c>
      <c r="J70" t="s">
        <v>822</v>
      </c>
      <c r="K70" t="s">
        <v>820</v>
      </c>
    </row>
    <row r="71" spans="1:11">
      <c r="A71" t="s">
        <v>146</v>
      </c>
      <c r="B71" s="3">
        <v>0</v>
      </c>
      <c r="C71" s="3">
        <v>39.7</v>
      </c>
      <c r="D71" s="3">
        <v>92.90000000000001</v>
      </c>
      <c r="E71" s="3">
        <v>39.7</v>
      </c>
      <c r="F71" s="3">
        <v>0</v>
      </c>
      <c r="G71" t="s">
        <v>820</v>
      </c>
      <c r="H71" t="s">
        <v>821</v>
      </c>
      <c r="I71" t="s">
        <v>820</v>
      </c>
      <c r="J71" t="s">
        <v>821</v>
      </c>
      <c r="K71" t="s">
        <v>820</v>
      </c>
    </row>
    <row r="72" spans="1:11">
      <c r="A72" t="s">
        <v>148</v>
      </c>
      <c r="B72" s="3">
        <v>0</v>
      </c>
      <c r="C72" s="3">
        <v>56.7</v>
      </c>
      <c r="D72" s="3">
        <v>94.3</v>
      </c>
      <c r="E72" s="3">
        <v>56.7</v>
      </c>
      <c r="F72" s="3">
        <v>0</v>
      </c>
      <c r="G72" t="s">
        <v>820</v>
      </c>
      <c r="H72" t="s">
        <v>822</v>
      </c>
      <c r="I72" t="s">
        <v>820</v>
      </c>
      <c r="J72" t="s">
        <v>822</v>
      </c>
      <c r="K72" t="s">
        <v>820</v>
      </c>
    </row>
    <row r="73" spans="1:11">
      <c r="A73" t="s">
        <v>150</v>
      </c>
      <c r="B73" s="3">
        <v>0</v>
      </c>
      <c r="C73" s="3">
        <v>55</v>
      </c>
      <c r="D73" s="3">
        <v>94.40000000000001</v>
      </c>
      <c r="E73" s="3">
        <v>55</v>
      </c>
      <c r="F73" s="3">
        <v>0</v>
      </c>
      <c r="G73" t="s">
        <v>820</v>
      </c>
      <c r="H73" t="s">
        <v>822</v>
      </c>
      <c r="I73" t="s">
        <v>820</v>
      </c>
      <c r="J73" t="s">
        <v>822</v>
      </c>
      <c r="K73" t="s">
        <v>820</v>
      </c>
    </row>
    <row r="74" spans="1:11">
      <c r="A74" t="s">
        <v>152</v>
      </c>
      <c r="B74" s="3">
        <v>0</v>
      </c>
      <c r="C74" s="3">
        <v>50.8</v>
      </c>
      <c r="D74" s="3">
        <v>94.5</v>
      </c>
      <c r="E74" s="3">
        <v>50.8</v>
      </c>
      <c r="F74" s="3">
        <v>0</v>
      </c>
      <c r="G74" t="s">
        <v>820</v>
      </c>
      <c r="H74" t="s">
        <v>820</v>
      </c>
      <c r="I74" t="s">
        <v>820</v>
      </c>
      <c r="J74" t="s">
        <v>820</v>
      </c>
      <c r="K74" t="s">
        <v>820</v>
      </c>
    </row>
    <row r="75" spans="1:11">
      <c r="A75" t="s">
        <v>154</v>
      </c>
      <c r="B75" s="3">
        <v>0</v>
      </c>
      <c r="C75" s="3">
        <v>46.3</v>
      </c>
      <c r="D75" s="3">
        <v>93.90000000000001</v>
      </c>
      <c r="E75" s="3">
        <v>46.3</v>
      </c>
      <c r="F75" s="3">
        <v>0</v>
      </c>
      <c r="G75" t="s">
        <v>820</v>
      </c>
      <c r="H75" t="s">
        <v>821</v>
      </c>
      <c r="I75" t="s">
        <v>820</v>
      </c>
      <c r="J75" t="s">
        <v>821</v>
      </c>
      <c r="K75" t="s">
        <v>820</v>
      </c>
    </row>
    <row r="76" spans="1:11">
      <c r="A76" t="s">
        <v>156</v>
      </c>
      <c r="B76" s="3">
        <v>0</v>
      </c>
      <c r="C76" s="3">
        <v>55</v>
      </c>
      <c r="D76" s="3">
        <v>94.5</v>
      </c>
      <c r="E76" s="3">
        <v>55</v>
      </c>
      <c r="F76" s="3">
        <v>0</v>
      </c>
      <c r="G76" t="s">
        <v>820</v>
      </c>
      <c r="H76" t="s">
        <v>822</v>
      </c>
      <c r="I76" t="s">
        <v>820</v>
      </c>
      <c r="J76" t="s">
        <v>822</v>
      </c>
      <c r="K76" t="s">
        <v>820</v>
      </c>
    </row>
    <row r="77" spans="1:11">
      <c r="A77" t="s">
        <v>158</v>
      </c>
      <c r="B77" s="3">
        <v>0</v>
      </c>
      <c r="C77" s="3">
        <v>58</v>
      </c>
      <c r="D77" s="3">
        <v>94.7</v>
      </c>
      <c r="E77" s="3">
        <v>58</v>
      </c>
      <c r="F77" s="3">
        <v>0</v>
      </c>
      <c r="G77" t="s">
        <v>820</v>
      </c>
      <c r="H77" t="s">
        <v>822</v>
      </c>
      <c r="I77" t="s">
        <v>820</v>
      </c>
      <c r="J77" t="s">
        <v>822</v>
      </c>
      <c r="K77" t="s">
        <v>820</v>
      </c>
    </row>
    <row r="78" spans="1:11">
      <c r="A78" t="s">
        <v>160</v>
      </c>
      <c r="B78" s="3">
        <v>0</v>
      </c>
      <c r="C78" s="3">
        <v>53.1</v>
      </c>
      <c r="D78" s="3">
        <v>93.40000000000001</v>
      </c>
      <c r="E78" s="3">
        <v>53.1</v>
      </c>
      <c r="F78" s="3">
        <v>0</v>
      </c>
      <c r="G78" t="s">
        <v>820</v>
      </c>
      <c r="H78" t="s">
        <v>820</v>
      </c>
      <c r="I78" t="s">
        <v>820</v>
      </c>
      <c r="J78" t="s">
        <v>820</v>
      </c>
      <c r="K78" t="s">
        <v>820</v>
      </c>
    </row>
    <row r="79" spans="1:11">
      <c r="A79" t="s">
        <v>162</v>
      </c>
      <c r="B79" s="3">
        <v>0</v>
      </c>
      <c r="C79" s="3">
        <v>55</v>
      </c>
      <c r="D79" s="3">
        <v>94.40000000000001</v>
      </c>
      <c r="E79" s="3">
        <v>55</v>
      </c>
      <c r="F79" s="3">
        <v>0</v>
      </c>
      <c r="G79" t="s">
        <v>820</v>
      </c>
      <c r="H79" t="s">
        <v>820</v>
      </c>
      <c r="I79" t="s">
        <v>820</v>
      </c>
      <c r="J79" t="s">
        <v>820</v>
      </c>
      <c r="K79" t="s">
        <v>820</v>
      </c>
    </row>
    <row r="80" spans="1:11">
      <c r="A80" t="s">
        <v>164</v>
      </c>
      <c r="B80" s="3">
        <v>0</v>
      </c>
      <c r="C80" s="3">
        <v>58.8</v>
      </c>
      <c r="D80" s="3">
        <v>94.40000000000001</v>
      </c>
      <c r="E80" s="3">
        <v>58.8</v>
      </c>
      <c r="F80" s="3">
        <v>0</v>
      </c>
      <c r="G80" t="s">
        <v>820</v>
      </c>
      <c r="H80" t="s">
        <v>822</v>
      </c>
      <c r="I80" t="s">
        <v>820</v>
      </c>
      <c r="J80" t="s">
        <v>822</v>
      </c>
      <c r="K80" t="s">
        <v>820</v>
      </c>
    </row>
    <row r="81" spans="1:11">
      <c r="A81" t="s">
        <v>166</v>
      </c>
      <c r="B81" s="3">
        <v>0</v>
      </c>
      <c r="C81" s="3">
        <v>49.4</v>
      </c>
      <c r="D81" s="3">
        <v>93.5</v>
      </c>
      <c r="E81" s="3">
        <v>49.4</v>
      </c>
      <c r="F81" s="3">
        <v>0</v>
      </c>
      <c r="G81" t="s">
        <v>820</v>
      </c>
      <c r="H81" t="s">
        <v>821</v>
      </c>
      <c r="I81" t="s">
        <v>820</v>
      </c>
      <c r="J81" t="s">
        <v>821</v>
      </c>
      <c r="K81" t="s">
        <v>820</v>
      </c>
    </row>
    <row r="82" spans="1:11">
      <c r="A82" t="s">
        <v>168</v>
      </c>
      <c r="B82" s="3">
        <v>0</v>
      </c>
      <c r="C82" s="3">
        <v>54.5</v>
      </c>
      <c r="D82" s="3">
        <v>93.7</v>
      </c>
      <c r="E82" s="3">
        <v>54.5</v>
      </c>
      <c r="F82" s="3">
        <v>0</v>
      </c>
      <c r="G82" t="s">
        <v>820</v>
      </c>
      <c r="H82" t="s">
        <v>820</v>
      </c>
      <c r="I82" t="s">
        <v>820</v>
      </c>
      <c r="J82" t="s">
        <v>820</v>
      </c>
      <c r="K82" t="s">
        <v>820</v>
      </c>
    </row>
    <row r="83" spans="1:11">
      <c r="A83" t="s">
        <v>170</v>
      </c>
      <c r="B83" s="3">
        <v>0</v>
      </c>
      <c r="C83" s="3">
        <v>44.1</v>
      </c>
      <c r="D83" s="3">
        <v>92.90000000000001</v>
      </c>
      <c r="E83" s="3">
        <v>44.1</v>
      </c>
      <c r="F83" s="3">
        <v>0</v>
      </c>
      <c r="G83" t="s">
        <v>820</v>
      </c>
      <c r="H83" t="s">
        <v>821</v>
      </c>
      <c r="I83" t="s">
        <v>820</v>
      </c>
      <c r="J83" t="s">
        <v>821</v>
      </c>
      <c r="K83" t="s">
        <v>820</v>
      </c>
    </row>
    <row r="84" spans="1:11">
      <c r="A84" t="s">
        <v>172</v>
      </c>
      <c r="B84" s="3">
        <v>0</v>
      </c>
      <c r="C84" s="3">
        <v>34.7</v>
      </c>
      <c r="D84" s="3">
        <v>92.3</v>
      </c>
      <c r="E84" s="3">
        <v>34.7</v>
      </c>
      <c r="F84" s="3">
        <v>0</v>
      </c>
      <c r="G84" t="s">
        <v>820</v>
      </c>
      <c r="H84" t="s">
        <v>821</v>
      </c>
      <c r="I84" t="s">
        <v>820</v>
      </c>
      <c r="J84" t="s">
        <v>821</v>
      </c>
      <c r="K84" t="s">
        <v>820</v>
      </c>
    </row>
    <row r="85" spans="1:11">
      <c r="A85" t="s">
        <v>174</v>
      </c>
      <c r="B85" s="3">
        <v>0</v>
      </c>
      <c r="C85" s="3">
        <v>52.3</v>
      </c>
      <c r="D85" s="3">
        <v>93.2</v>
      </c>
      <c r="E85" s="3">
        <v>52.3</v>
      </c>
      <c r="F85" s="3">
        <v>0</v>
      </c>
      <c r="G85" t="s">
        <v>820</v>
      </c>
      <c r="H85" t="s">
        <v>822</v>
      </c>
      <c r="I85" t="s">
        <v>820</v>
      </c>
      <c r="J85" t="s">
        <v>822</v>
      </c>
      <c r="K85" t="s">
        <v>820</v>
      </c>
    </row>
    <row r="86" spans="1:11">
      <c r="A86" t="s">
        <v>176</v>
      </c>
      <c r="B86" s="3">
        <v>0</v>
      </c>
      <c r="C86" s="3">
        <v>52</v>
      </c>
      <c r="D86" s="3">
        <v>93</v>
      </c>
      <c r="E86" s="3">
        <v>52</v>
      </c>
      <c r="F86" s="3">
        <v>0</v>
      </c>
      <c r="G86" t="s">
        <v>820</v>
      </c>
      <c r="H86" t="s">
        <v>822</v>
      </c>
      <c r="I86" t="s">
        <v>820</v>
      </c>
      <c r="J86" t="s">
        <v>822</v>
      </c>
      <c r="K86" t="s">
        <v>820</v>
      </c>
    </row>
    <row r="87" spans="1:11">
      <c r="A87" t="s">
        <v>178</v>
      </c>
      <c r="B87" s="3">
        <v>0</v>
      </c>
      <c r="C87" s="3">
        <v>56</v>
      </c>
      <c r="D87" s="3">
        <v>93.40000000000001</v>
      </c>
      <c r="E87" s="3">
        <v>56</v>
      </c>
      <c r="F87" s="3">
        <v>0</v>
      </c>
      <c r="G87" t="s">
        <v>820</v>
      </c>
      <c r="H87" t="s">
        <v>822</v>
      </c>
      <c r="I87" t="s">
        <v>820</v>
      </c>
      <c r="J87" t="s">
        <v>822</v>
      </c>
      <c r="K87" t="s">
        <v>820</v>
      </c>
    </row>
    <row r="88" spans="1:11">
      <c r="A88" t="s">
        <v>180</v>
      </c>
      <c r="B88" s="3">
        <v>0</v>
      </c>
      <c r="C88" s="3">
        <v>55.7</v>
      </c>
      <c r="D88" s="3">
        <v>93.3</v>
      </c>
      <c r="E88" s="3">
        <v>55.7</v>
      </c>
      <c r="F88" s="3">
        <v>0</v>
      </c>
      <c r="G88" t="s">
        <v>820</v>
      </c>
      <c r="H88" t="s">
        <v>822</v>
      </c>
      <c r="I88" t="s">
        <v>820</v>
      </c>
      <c r="J88" t="s">
        <v>822</v>
      </c>
      <c r="K88" t="s">
        <v>820</v>
      </c>
    </row>
    <row r="89" spans="1:11">
      <c r="A89" t="s">
        <v>182</v>
      </c>
      <c r="B89" s="3">
        <v>0</v>
      </c>
      <c r="C89" s="3">
        <v>55.4</v>
      </c>
      <c r="D89" s="3">
        <v>93.8</v>
      </c>
      <c r="E89" s="3">
        <v>55.4</v>
      </c>
      <c r="F89" s="3">
        <v>0</v>
      </c>
      <c r="G89" t="s">
        <v>820</v>
      </c>
      <c r="H89" t="s">
        <v>820</v>
      </c>
      <c r="I89" t="s">
        <v>820</v>
      </c>
      <c r="J89" t="s">
        <v>820</v>
      </c>
      <c r="K89" t="s">
        <v>820</v>
      </c>
    </row>
    <row r="90" spans="1:11">
      <c r="A90" t="s">
        <v>184</v>
      </c>
      <c r="B90" s="3">
        <v>0</v>
      </c>
      <c r="C90" s="3">
        <v>57.5</v>
      </c>
      <c r="D90" s="3">
        <v>94.3</v>
      </c>
      <c r="E90" s="3">
        <v>57.5</v>
      </c>
      <c r="F90" s="3">
        <v>0</v>
      </c>
      <c r="G90" t="s">
        <v>820</v>
      </c>
      <c r="H90" t="s">
        <v>822</v>
      </c>
      <c r="I90" t="s">
        <v>820</v>
      </c>
      <c r="J90" t="s">
        <v>822</v>
      </c>
      <c r="K90" t="s">
        <v>820</v>
      </c>
    </row>
    <row r="91" spans="1:11">
      <c r="A91" t="s">
        <v>186</v>
      </c>
      <c r="B91" s="3">
        <v>0</v>
      </c>
      <c r="C91" s="3">
        <v>56.5</v>
      </c>
      <c r="D91" s="3">
        <v>93.90000000000001</v>
      </c>
      <c r="E91" s="3">
        <v>56.5</v>
      </c>
      <c r="F91" s="3">
        <v>0</v>
      </c>
      <c r="G91" t="s">
        <v>820</v>
      </c>
      <c r="H91" t="s">
        <v>820</v>
      </c>
      <c r="I91" t="s">
        <v>820</v>
      </c>
      <c r="J91" t="s">
        <v>820</v>
      </c>
      <c r="K91" t="s">
        <v>820</v>
      </c>
    </row>
    <row r="92" spans="1:11">
      <c r="A92" t="s">
        <v>188</v>
      </c>
      <c r="B92" s="3">
        <v>0</v>
      </c>
      <c r="C92" s="3">
        <v>44.5</v>
      </c>
      <c r="D92" s="3">
        <v>93.09999999999999</v>
      </c>
      <c r="E92" s="3">
        <v>44.5</v>
      </c>
      <c r="F92" s="3">
        <v>0</v>
      </c>
      <c r="G92" t="s">
        <v>820</v>
      </c>
      <c r="H92" t="s">
        <v>821</v>
      </c>
      <c r="I92" t="s">
        <v>820</v>
      </c>
      <c r="J92" t="s">
        <v>821</v>
      </c>
      <c r="K92" t="s">
        <v>820</v>
      </c>
    </row>
    <row r="93" spans="1:11">
      <c r="A93" t="s">
        <v>190</v>
      </c>
      <c r="B93" s="3">
        <v>0</v>
      </c>
      <c r="C93" s="3">
        <v>46.7</v>
      </c>
      <c r="D93" s="3">
        <v>91.8</v>
      </c>
      <c r="E93" s="3">
        <v>46.7</v>
      </c>
      <c r="F93" s="3">
        <v>0</v>
      </c>
      <c r="G93" t="s">
        <v>820</v>
      </c>
      <c r="H93" t="s">
        <v>821</v>
      </c>
      <c r="I93" t="s">
        <v>820</v>
      </c>
      <c r="J93" t="s">
        <v>821</v>
      </c>
      <c r="K93" t="s">
        <v>820</v>
      </c>
    </row>
    <row r="94" spans="1:11">
      <c r="A94" t="s">
        <v>192</v>
      </c>
      <c r="B94" s="3">
        <v>0</v>
      </c>
      <c r="C94" s="3">
        <v>40</v>
      </c>
      <c r="D94" s="3">
        <v>91.5</v>
      </c>
      <c r="E94" s="3">
        <v>40</v>
      </c>
      <c r="F94" s="3">
        <v>0</v>
      </c>
      <c r="G94" t="s">
        <v>820</v>
      </c>
      <c r="H94" t="s">
        <v>821</v>
      </c>
      <c r="I94" t="s">
        <v>820</v>
      </c>
      <c r="J94" t="s">
        <v>821</v>
      </c>
      <c r="K94" t="s">
        <v>820</v>
      </c>
    </row>
    <row r="95" spans="1:11">
      <c r="A95" t="s">
        <v>194</v>
      </c>
      <c r="B95" s="3">
        <v>0</v>
      </c>
      <c r="C95" s="3">
        <v>38.7</v>
      </c>
      <c r="D95" s="3">
        <v>90.8</v>
      </c>
      <c r="E95" s="3">
        <v>38.7</v>
      </c>
      <c r="F95" s="3">
        <v>0</v>
      </c>
      <c r="G95" t="s">
        <v>820</v>
      </c>
      <c r="H95" t="s">
        <v>821</v>
      </c>
      <c r="I95" t="s">
        <v>820</v>
      </c>
      <c r="J95" t="s">
        <v>821</v>
      </c>
      <c r="K95" t="s">
        <v>820</v>
      </c>
    </row>
    <row r="96" spans="1:11">
      <c r="A96" t="s">
        <v>196</v>
      </c>
      <c r="B96" s="3">
        <v>0</v>
      </c>
      <c r="C96" s="3">
        <v>48.8</v>
      </c>
      <c r="D96" s="3">
        <v>93</v>
      </c>
      <c r="E96" s="3">
        <v>48.8</v>
      </c>
      <c r="F96" s="3">
        <v>0</v>
      </c>
      <c r="G96" t="s">
        <v>820</v>
      </c>
      <c r="H96" t="s">
        <v>822</v>
      </c>
      <c r="I96" t="s">
        <v>820</v>
      </c>
      <c r="J96" t="s">
        <v>822</v>
      </c>
      <c r="K96" t="s">
        <v>820</v>
      </c>
    </row>
    <row r="97" spans="1:11">
      <c r="A97" t="s">
        <v>198</v>
      </c>
      <c r="B97" s="3">
        <v>0</v>
      </c>
      <c r="C97" s="3">
        <v>42.7</v>
      </c>
      <c r="D97" s="3">
        <v>91.59999999999999</v>
      </c>
      <c r="E97" s="3">
        <v>42.7</v>
      </c>
      <c r="F97" s="3">
        <v>0</v>
      </c>
      <c r="G97" t="s">
        <v>820</v>
      </c>
      <c r="H97" t="s">
        <v>820</v>
      </c>
      <c r="I97" t="s">
        <v>820</v>
      </c>
      <c r="J97" t="s">
        <v>820</v>
      </c>
      <c r="K97" t="s">
        <v>820</v>
      </c>
    </row>
    <row r="98" spans="1:11">
      <c r="A98" t="s">
        <v>200</v>
      </c>
      <c r="B98" s="3">
        <v>0</v>
      </c>
      <c r="C98" s="3">
        <v>41.7</v>
      </c>
      <c r="D98" s="3">
        <v>91.8</v>
      </c>
      <c r="E98" s="3">
        <v>41.7</v>
      </c>
      <c r="F98" s="3">
        <v>0</v>
      </c>
      <c r="G98" t="s">
        <v>820</v>
      </c>
      <c r="H98" t="s">
        <v>820</v>
      </c>
      <c r="I98" t="s">
        <v>820</v>
      </c>
      <c r="J98" t="s">
        <v>820</v>
      </c>
      <c r="K98" t="s">
        <v>820</v>
      </c>
    </row>
    <row r="99" spans="1:11">
      <c r="A99" t="s">
        <v>202</v>
      </c>
      <c r="B99" s="3">
        <v>0</v>
      </c>
      <c r="C99" s="3">
        <v>50.4</v>
      </c>
      <c r="D99" s="3">
        <v>91.8</v>
      </c>
      <c r="E99" s="3">
        <v>50.4</v>
      </c>
      <c r="F99" s="3">
        <v>0</v>
      </c>
      <c r="G99" t="s">
        <v>820</v>
      </c>
      <c r="H99" t="s">
        <v>822</v>
      </c>
      <c r="I99" t="s">
        <v>820</v>
      </c>
      <c r="J99" t="s">
        <v>822</v>
      </c>
      <c r="K99" t="s">
        <v>820</v>
      </c>
    </row>
    <row r="100" spans="1:11">
      <c r="A100" t="s">
        <v>204</v>
      </c>
      <c r="B100" s="3">
        <v>0</v>
      </c>
      <c r="C100" s="3">
        <v>42</v>
      </c>
      <c r="D100" s="3">
        <v>91.2</v>
      </c>
      <c r="E100" s="3">
        <v>42</v>
      </c>
      <c r="F100" s="3">
        <v>0</v>
      </c>
      <c r="G100" t="s">
        <v>820</v>
      </c>
      <c r="H100" t="s">
        <v>821</v>
      </c>
      <c r="I100" t="s">
        <v>820</v>
      </c>
      <c r="J100" t="s">
        <v>821</v>
      </c>
      <c r="K100" t="s">
        <v>820</v>
      </c>
    </row>
    <row r="101" spans="1:11">
      <c r="A101" t="s">
        <v>206</v>
      </c>
      <c r="B101" s="3">
        <v>0</v>
      </c>
      <c r="C101" s="3">
        <v>49.4</v>
      </c>
      <c r="D101" s="3">
        <v>92</v>
      </c>
      <c r="E101" s="3">
        <v>49.4</v>
      </c>
      <c r="F101" s="3">
        <v>0</v>
      </c>
      <c r="G101" t="s">
        <v>820</v>
      </c>
      <c r="H101" t="s">
        <v>822</v>
      </c>
      <c r="I101" t="s">
        <v>820</v>
      </c>
      <c r="J101" t="s">
        <v>822</v>
      </c>
      <c r="K101" t="s">
        <v>820</v>
      </c>
    </row>
    <row r="102" spans="1:11">
      <c r="A102" t="s">
        <v>208</v>
      </c>
      <c r="B102" s="3">
        <v>0</v>
      </c>
      <c r="C102" s="3">
        <v>53.2</v>
      </c>
      <c r="D102" s="3">
        <v>92.59999999999999</v>
      </c>
      <c r="E102" s="3">
        <v>53.2</v>
      </c>
      <c r="F102" s="3">
        <v>0</v>
      </c>
      <c r="G102" t="s">
        <v>820</v>
      </c>
      <c r="H102" t="s">
        <v>822</v>
      </c>
      <c r="I102" t="s">
        <v>820</v>
      </c>
      <c r="J102" t="s">
        <v>822</v>
      </c>
      <c r="K102" t="s">
        <v>820</v>
      </c>
    </row>
    <row r="103" spans="1:11">
      <c r="A103" t="s">
        <v>210</v>
      </c>
      <c r="B103" s="3">
        <v>0</v>
      </c>
      <c r="C103" s="3">
        <v>45.4</v>
      </c>
      <c r="D103" s="3">
        <v>91.59999999999999</v>
      </c>
      <c r="E103" s="3">
        <v>45.4</v>
      </c>
      <c r="F103" s="3">
        <v>0</v>
      </c>
      <c r="G103" t="s">
        <v>820</v>
      </c>
      <c r="H103" t="s">
        <v>821</v>
      </c>
      <c r="I103" t="s">
        <v>820</v>
      </c>
      <c r="J103" t="s">
        <v>821</v>
      </c>
      <c r="K103" t="s">
        <v>820</v>
      </c>
    </row>
    <row r="104" spans="1:11">
      <c r="A104" t="s">
        <v>212</v>
      </c>
      <c r="B104" s="3">
        <v>0</v>
      </c>
      <c r="C104" s="3">
        <v>44.3</v>
      </c>
      <c r="D104" s="3">
        <v>91.8</v>
      </c>
      <c r="E104" s="3">
        <v>44.3</v>
      </c>
      <c r="F104" s="3">
        <v>0</v>
      </c>
      <c r="G104" t="s">
        <v>820</v>
      </c>
      <c r="H104" t="s">
        <v>821</v>
      </c>
      <c r="I104" t="s">
        <v>820</v>
      </c>
      <c r="J104" t="s">
        <v>821</v>
      </c>
      <c r="K104" t="s">
        <v>820</v>
      </c>
    </row>
    <row r="105" spans="1:11">
      <c r="A105" t="s">
        <v>214</v>
      </c>
      <c r="B105" s="3">
        <v>0</v>
      </c>
      <c r="C105" s="3">
        <v>34.7</v>
      </c>
      <c r="D105" s="3">
        <v>90.7</v>
      </c>
      <c r="E105" s="3">
        <v>34.7</v>
      </c>
      <c r="F105" s="3">
        <v>0</v>
      </c>
      <c r="G105" t="s">
        <v>820</v>
      </c>
      <c r="H105" t="s">
        <v>821</v>
      </c>
      <c r="I105" t="s">
        <v>820</v>
      </c>
      <c r="J105" t="s">
        <v>821</v>
      </c>
      <c r="K105" t="s">
        <v>820</v>
      </c>
    </row>
    <row r="106" spans="1:11">
      <c r="A106" t="s">
        <v>216</v>
      </c>
      <c r="B106" s="3">
        <v>0</v>
      </c>
      <c r="C106" s="3">
        <v>32.6</v>
      </c>
      <c r="D106" s="3">
        <v>89.09999999999999</v>
      </c>
      <c r="E106" s="3">
        <v>32.6</v>
      </c>
      <c r="F106" s="3">
        <v>0</v>
      </c>
      <c r="G106" t="s">
        <v>820</v>
      </c>
      <c r="H106" t="s">
        <v>821</v>
      </c>
      <c r="I106" t="s">
        <v>821</v>
      </c>
      <c r="J106" t="s">
        <v>821</v>
      </c>
      <c r="K106" t="s">
        <v>820</v>
      </c>
    </row>
    <row r="107" spans="1:11">
      <c r="A107" t="s">
        <v>218</v>
      </c>
      <c r="B107" s="3">
        <v>0</v>
      </c>
      <c r="C107" s="3">
        <v>50.2</v>
      </c>
      <c r="D107" s="3">
        <v>91.09999999999999</v>
      </c>
      <c r="E107" s="3">
        <v>50.2</v>
      </c>
      <c r="F107" s="3">
        <v>0</v>
      </c>
      <c r="G107" t="s">
        <v>820</v>
      </c>
      <c r="H107" t="s">
        <v>822</v>
      </c>
      <c r="I107" t="s">
        <v>820</v>
      </c>
      <c r="J107" t="s">
        <v>822</v>
      </c>
      <c r="K107" t="s">
        <v>820</v>
      </c>
    </row>
    <row r="108" spans="1:11">
      <c r="A108" t="s">
        <v>220</v>
      </c>
      <c r="B108" s="3">
        <v>0</v>
      </c>
      <c r="C108" s="3">
        <v>39</v>
      </c>
      <c r="D108" s="3">
        <v>89.5</v>
      </c>
      <c r="E108" s="3">
        <v>39</v>
      </c>
      <c r="F108" s="3">
        <v>0</v>
      </c>
      <c r="G108" t="s">
        <v>820</v>
      </c>
      <c r="H108" t="s">
        <v>820</v>
      </c>
      <c r="I108" t="s">
        <v>820</v>
      </c>
      <c r="J108" t="s">
        <v>820</v>
      </c>
      <c r="K108" t="s">
        <v>820</v>
      </c>
    </row>
    <row r="109" spans="1:11">
      <c r="A109" t="s">
        <v>222</v>
      </c>
      <c r="B109" s="3">
        <v>0</v>
      </c>
      <c r="C109" s="3">
        <v>38.2</v>
      </c>
      <c r="D109" s="3">
        <v>90.5</v>
      </c>
      <c r="E109" s="3">
        <v>38.2</v>
      </c>
      <c r="F109" s="3">
        <v>0</v>
      </c>
      <c r="G109" t="s">
        <v>820</v>
      </c>
      <c r="H109" t="s">
        <v>820</v>
      </c>
      <c r="I109" t="s">
        <v>820</v>
      </c>
      <c r="J109" t="s">
        <v>820</v>
      </c>
      <c r="K109" t="s">
        <v>820</v>
      </c>
    </row>
    <row r="110" spans="1:11">
      <c r="A110" t="s">
        <v>224</v>
      </c>
      <c r="B110" s="3">
        <v>0</v>
      </c>
      <c r="C110" s="3">
        <v>38.5</v>
      </c>
      <c r="D110" s="3">
        <v>89</v>
      </c>
      <c r="E110" s="3">
        <v>38.5</v>
      </c>
      <c r="F110" s="3">
        <v>0</v>
      </c>
      <c r="G110" t="s">
        <v>820</v>
      </c>
      <c r="H110" t="s">
        <v>820</v>
      </c>
      <c r="I110" t="s">
        <v>820</v>
      </c>
      <c r="J110" t="s">
        <v>820</v>
      </c>
      <c r="K110" t="s">
        <v>820</v>
      </c>
    </row>
    <row r="111" spans="1:11">
      <c r="A111" t="s">
        <v>226</v>
      </c>
      <c r="B111" s="3">
        <v>0</v>
      </c>
      <c r="C111" s="3">
        <v>50.2</v>
      </c>
      <c r="D111" s="3">
        <v>90.3</v>
      </c>
      <c r="E111" s="3">
        <v>50.2</v>
      </c>
      <c r="F111" s="3">
        <v>0</v>
      </c>
      <c r="G111" t="s">
        <v>820</v>
      </c>
      <c r="H111" t="s">
        <v>822</v>
      </c>
      <c r="I111" t="s">
        <v>820</v>
      </c>
      <c r="J111" t="s">
        <v>822</v>
      </c>
      <c r="K111" t="s">
        <v>820</v>
      </c>
    </row>
    <row r="112" spans="1:11">
      <c r="A112" t="s">
        <v>228</v>
      </c>
      <c r="B112" s="3">
        <v>0</v>
      </c>
      <c r="C112" s="3">
        <v>51</v>
      </c>
      <c r="D112" s="3">
        <v>91.7</v>
      </c>
      <c r="E112" s="3">
        <v>51</v>
      </c>
      <c r="F112" s="3">
        <v>0</v>
      </c>
      <c r="G112" t="s">
        <v>820</v>
      </c>
      <c r="H112" t="s">
        <v>822</v>
      </c>
      <c r="I112" t="s">
        <v>820</v>
      </c>
      <c r="J112" t="s">
        <v>822</v>
      </c>
      <c r="K112" t="s">
        <v>820</v>
      </c>
    </row>
    <row r="113" spans="1:11">
      <c r="A113" t="s">
        <v>230</v>
      </c>
      <c r="B113" s="3">
        <v>0</v>
      </c>
      <c r="C113" s="3">
        <v>54.5</v>
      </c>
      <c r="D113" s="3">
        <v>91.09999999999999</v>
      </c>
      <c r="E113" s="3">
        <v>54.5</v>
      </c>
      <c r="F113" s="3">
        <v>0</v>
      </c>
      <c r="G113" t="s">
        <v>820</v>
      </c>
      <c r="H113" t="s">
        <v>822</v>
      </c>
      <c r="I113" t="s">
        <v>820</v>
      </c>
      <c r="J113" t="s">
        <v>822</v>
      </c>
      <c r="K113" t="s">
        <v>820</v>
      </c>
    </row>
    <row r="114" spans="1:11">
      <c r="A114" t="s">
        <v>232</v>
      </c>
      <c r="B114" s="3">
        <v>0</v>
      </c>
      <c r="C114" s="3">
        <v>56.2</v>
      </c>
      <c r="D114" s="3">
        <v>91.8</v>
      </c>
      <c r="E114" s="3">
        <v>56.2</v>
      </c>
      <c r="F114" s="3">
        <v>0</v>
      </c>
      <c r="G114" t="s">
        <v>820</v>
      </c>
      <c r="H114" t="s">
        <v>822</v>
      </c>
      <c r="I114" t="s">
        <v>820</v>
      </c>
      <c r="J114" t="s">
        <v>822</v>
      </c>
      <c r="K114" t="s">
        <v>820</v>
      </c>
    </row>
    <row r="115" spans="1:11">
      <c r="A115" t="s">
        <v>234</v>
      </c>
      <c r="B115" s="3">
        <v>0</v>
      </c>
      <c r="C115" s="3">
        <v>50.2</v>
      </c>
      <c r="D115" s="3">
        <v>92.09999999999999</v>
      </c>
      <c r="E115" s="3">
        <v>50.2</v>
      </c>
      <c r="F115" s="3">
        <v>0</v>
      </c>
      <c r="G115" t="s">
        <v>820</v>
      </c>
      <c r="H115" t="s">
        <v>821</v>
      </c>
      <c r="I115" t="s">
        <v>820</v>
      </c>
      <c r="J115" t="s">
        <v>821</v>
      </c>
      <c r="K115" t="s">
        <v>820</v>
      </c>
    </row>
    <row r="116" spans="1:11">
      <c r="A116" t="s">
        <v>236</v>
      </c>
      <c r="B116" s="3">
        <v>0</v>
      </c>
      <c r="C116" s="3">
        <v>45</v>
      </c>
      <c r="D116" s="3">
        <v>89.8</v>
      </c>
      <c r="E116" s="3">
        <v>45</v>
      </c>
      <c r="F116" s="3">
        <v>0</v>
      </c>
      <c r="G116" t="s">
        <v>820</v>
      </c>
      <c r="H116" t="s">
        <v>821</v>
      </c>
      <c r="I116" t="s">
        <v>820</v>
      </c>
      <c r="J116" t="s">
        <v>821</v>
      </c>
      <c r="K116" t="s">
        <v>820</v>
      </c>
    </row>
    <row r="117" spans="1:11">
      <c r="A117" t="s">
        <v>238</v>
      </c>
      <c r="B117" s="3">
        <v>0</v>
      </c>
      <c r="C117" s="3">
        <v>37.4</v>
      </c>
      <c r="D117" s="3">
        <v>89.90000000000001</v>
      </c>
      <c r="E117" s="3">
        <v>37.4</v>
      </c>
      <c r="F117" s="3">
        <v>0</v>
      </c>
      <c r="G117" t="s">
        <v>820</v>
      </c>
      <c r="H117" t="s">
        <v>821</v>
      </c>
      <c r="I117" t="s">
        <v>820</v>
      </c>
      <c r="J117" t="s">
        <v>821</v>
      </c>
      <c r="K117" t="s">
        <v>820</v>
      </c>
    </row>
    <row r="118" spans="1:11">
      <c r="A118" t="s">
        <v>240</v>
      </c>
      <c r="B118" s="3">
        <v>0</v>
      </c>
      <c r="C118" s="3">
        <v>44.5</v>
      </c>
      <c r="D118" s="3">
        <v>89.3</v>
      </c>
      <c r="E118" s="3">
        <v>44.5</v>
      </c>
      <c r="F118" s="3">
        <v>0</v>
      </c>
      <c r="G118" t="s">
        <v>820</v>
      </c>
      <c r="H118" t="s">
        <v>821</v>
      </c>
      <c r="I118" t="s">
        <v>820</v>
      </c>
      <c r="J118" t="s">
        <v>821</v>
      </c>
      <c r="K118" t="s">
        <v>820</v>
      </c>
    </row>
    <row r="119" spans="1:11">
      <c r="A119" t="s">
        <v>242</v>
      </c>
      <c r="B119" s="3">
        <v>0</v>
      </c>
      <c r="C119" s="3">
        <v>55.9</v>
      </c>
      <c r="D119" s="3">
        <v>91.59999999999999</v>
      </c>
      <c r="E119" s="3">
        <v>55.9</v>
      </c>
      <c r="F119" s="3">
        <v>0</v>
      </c>
      <c r="G119" t="s">
        <v>820</v>
      </c>
      <c r="H119" t="s">
        <v>822</v>
      </c>
      <c r="I119" t="s">
        <v>820</v>
      </c>
      <c r="J119" t="s">
        <v>822</v>
      </c>
      <c r="K119" t="s">
        <v>820</v>
      </c>
    </row>
    <row r="120" spans="1:11">
      <c r="A120" t="s">
        <v>244</v>
      </c>
      <c r="B120" s="3">
        <v>0</v>
      </c>
      <c r="C120" s="3">
        <v>41.5</v>
      </c>
      <c r="D120" s="3">
        <v>90</v>
      </c>
      <c r="E120" s="3">
        <v>41.5</v>
      </c>
      <c r="F120" s="3">
        <v>0</v>
      </c>
      <c r="G120" t="s">
        <v>820</v>
      </c>
      <c r="H120" t="s">
        <v>821</v>
      </c>
      <c r="I120" t="s">
        <v>820</v>
      </c>
      <c r="J120" t="s">
        <v>821</v>
      </c>
      <c r="K120" t="s">
        <v>820</v>
      </c>
    </row>
    <row r="121" spans="1:11">
      <c r="A121" t="s">
        <v>246</v>
      </c>
      <c r="B121" s="3">
        <v>0</v>
      </c>
      <c r="C121" s="3">
        <v>51.4</v>
      </c>
      <c r="D121" s="3">
        <v>91.3</v>
      </c>
      <c r="E121" s="3">
        <v>51.4</v>
      </c>
      <c r="F121" s="3">
        <v>0</v>
      </c>
      <c r="G121" t="s">
        <v>820</v>
      </c>
      <c r="H121" t="s">
        <v>822</v>
      </c>
      <c r="I121" t="s">
        <v>820</v>
      </c>
      <c r="J121" t="s">
        <v>822</v>
      </c>
      <c r="K121" t="s">
        <v>820</v>
      </c>
    </row>
    <row r="122" spans="1:11">
      <c r="A122" t="s">
        <v>248</v>
      </c>
      <c r="B122" s="3">
        <v>0</v>
      </c>
      <c r="C122" s="3">
        <v>46.3</v>
      </c>
      <c r="D122" s="3">
        <v>90</v>
      </c>
      <c r="E122" s="3">
        <v>46.3</v>
      </c>
      <c r="F122" s="3">
        <v>0</v>
      </c>
      <c r="G122" t="s">
        <v>820</v>
      </c>
      <c r="H122" t="s">
        <v>820</v>
      </c>
      <c r="I122" t="s">
        <v>820</v>
      </c>
      <c r="J122" t="s">
        <v>820</v>
      </c>
      <c r="K122" t="s">
        <v>820</v>
      </c>
    </row>
    <row r="123" spans="1:11">
      <c r="A123" t="s">
        <v>250</v>
      </c>
      <c r="B123" s="3">
        <v>0</v>
      </c>
      <c r="C123" s="3">
        <v>37.1</v>
      </c>
      <c r="D123" s="3">
        <v>88.5</v>
      </c>
      <c r="E123" s="3">
        <v>37.1</v>
      </c>
      <c r="F123" s="3">
        <v>0</v>
      </c>
      <c r="G123" t="s">
        <v>820</v>
      </c>
      <c r="H123" t="s">
        <v>821</v>
      </c>
      <c r="I123" t="s">
        <v>820</v>
      </c>
      <c r="J123" t="s">
        <v>821</v>
      </c>
      <c r="K123" t="s">
        <v>820</v>
      </c>
    </row>
    <row r="124" spans="1:11">
      <c r="A124" t="s">
        <v>252</v>
      </c>
      <c r="B124" s="3">
        <v>0</v>
      </c>
      <c r="C124" s="3">
        <v>40.5</v>
      </c>
      <c r="D124" s="3">
        <v>88</v>
      </c>
      <c r="E124" s="3">
        <v>40.5</v>
      </c>
      <c r="F124" s="3">
        <v>0</v>
      </c>
      <c r="G124" t="s">
        <v>820</v>
      </c>
      <c r="H124" t="s">
        <v>821</v>
      </c>
      <c r="I124" t="s">
        <v>820</v>
      </c>
      <c r="J124" t="s">
        <v>821</v>
      </c>
      <c r="K124" t="s">
        <v>820</v>
      </c>
    </row>
    <row r="125" spans="1:11">
      <c r="A125" t="s">
        <v>254</v>
      </c>
      <c r="B125" s="3">
        <v>0</v>
      </c>
      <c r="C125" s="3">
        <v>49</v>
      </c>
      <c r="D125" s="3">
        <v>90</v>
      </c>
      <c r="E125" s="3">
        <v>49</v>
      </c>
      <c r="F125" s="3">
        <v>0</v>
      </c>
      <c r="G125" t="s">
        <v>820</v>
      </c>
      <c r="H125" t="s">
        <v>822</v>
      </c>
      <c r="I125" t="s">
        <v>820</v>
      </c>
      <c r="J125" t="s">
        <v>822</v>
      </c>
      <c r="K125" t="s">
        <v>820</v>
      </c>
    </row>
    <row r="126" spans="1:11">
      <c r="A126" t="s">
        <v>256</v>
      </c>
      <c r="B126" s="3">
        <v>0</v>
      </c>
      <c r="C126" s="3">
        <v>49.8</v>
      </c>
      <c r="D126" s="3">
        <v>89.5</v>
      </c>
      <c r="E126" s="3">
        <v>49.8</v>
      </c>
      <c r="F126" s="3">
        <v>0</v>
      </c>
      <c r="G126" t="s">
        <v>820</v>
      </c>
      <c r="H126" t="s">
        <v>822</v>
      </c>
      <c r="I126" t="s">
        <v>820</v>
      </c>
      <c r="J126" t="s">
        <v>822</v>
      </c>
      <c r="K126" t="s">
        <v>820</v>
      </c>
    </row>
    <row r="127" spans="1:11">
      <c r="A127" t="s">
        <v>258</v>
      </c>
      <c r="B127" s="3">
        <v>0</v>
      </c>
      <c r="C127" s="3">
        <v>39.2</v>
      </c>
      <c r="D127" s="3">
        <v>89</v>
      </c>
      <c r="E127" s="3">
        <v>39.2</v>
      </c>
      <c r="F127" s="3">
        <v>0</v>
      </c>
      <c r="G127" t="s">
        <v>820</v>
      </c>
      <c r="H127" t="s">
        <v>821</v>
      </c>
      <c r="I127" t="s">
        <v>820</v>
      </c>
      <c r="J127" t="s">
        <v>821</v>
      </c>
      <c r="K127" t="s">
        <v>820</v>
      </c>
    </row>
    <row r="128" spans="1:11">
      <c r="A128" t="s">
        <v>260</v>
      </c>
      <c r="B128" s="3">
        <v>0</v>
      </c>
      <c r="C128" s="3">
        <v>40.3</v>
      </c>
      <c r="D128" s="3">
        <v>88.2</v>
      </c>
      <c r="E128" s="3">
        <v>40.3</v>
      </c>
      <c r="F128" s="3">
        <v>0</v>
      </c>
      <c r="G128" t="s">
        <v>820</v>
      </c>
      <c r="H128" t="s">
        <v>821</v>
      </c>
      <c r="I128" t="s">
        <v>820</v>
      </c>
      <c r="J128" t="s">
        <v>821</v>
      </c>
      <c r="K128" t="s">
        <v>820</v>
      </c>
    </row>
    <row r="129" spans="1:11">
      <c r="A129" t="s">
        <v>262</v>
      </c>
      <c r="B129" s="3">
        <v>0</v>
      </c>
      <c r="C129" s="3">
        <v>38.7</v>
      </c>
      <c r="D129" s="3">
        <v>87.59999999999999</v>
      </c>
      <c r="E129" s="3">
        <v>38.7</v>
      </c>
      <c r="F129" s="3">
        <v>0</v>
      </c>
      <c r="G129" t="s">
        <v>820</v>
      </c>
      <c r="H129" t="s">
        <v>821</v>
      </c>
      <c r="I129" t="s">
        <v>820</v>
      </c>
      <c r="J129" t="s">
        <v>821</v>
      </c>
      <c r="K129" t="s">
        <v>820</v>
      </c>
    </row>
    <row r="130" spans="1:11">
      <c r="A130" t="s">
        <v>264</v>
      </c>
      <c r="B130" s="3">
        <v>0</v>
      </c>
      <c r="C130" s="3">
        <v>40.7</v>
      </c>
      <c r="D130" s="3">
        <v>87.40000000000001</v>
      </c>
      <c r="E130" s="3">
        <v>40.7</v>
      </c>
      <c r="F130" s="3">
        <v>0</v>
      </c>
      <c r="G130" t="s">
        <v>820</v>
      </c>
      <c r="H130" t="s">
        <v>820</v>
      </c>
      <c r="I130" t="s">
        <v>820</v>
      </c>
      <c r="J130" t="s">
        <v>820</v>
      </c>
      <c r="K130" t="s">
        <v>820</v>
      </c>
    </row>
    <row r="131" spans="1:11">
      <c r="A131" t="s">
        <v>266</v>
      </c>
      <c r="B131" s="3">
        <v>0</v>
      </c>
      <c r="C131" s="3">
        <v>46.3</v>
      </c>
      <c r="D131" s="3">
        <v>87.40000000000001</v>
      </c>
      <c r="E131" s="3">
        <v>46.3</v>
      </c>
      <c r="F131" s="3">
        <v>0</v>
      </c>
      <c r="G131" t="s">
        <v>820</v>
      </c>
      <c r="H131" t="s">
        <v>822</v>
      </c>
      <c r="I131" t="s">
        <v>820</v>
      </c>
      <c r="J131" t="s">
        <v>822</v>
      </c>
      <c r="K131" t="s">
        <v>820</v>
      </c>
    </row>
    <row r="132" spans="1:11">
      <c r="A132" t="s">
        <v>268</v>
      </c>
      <c r="B132" s="3">
        <v>0</v>
      </c>
      <c r="C132" s="3">
        <v>38.7</v>
      </c>
      <c r="D132" s="3">
        <v>88.09999999999999</v>
      </c>
      <c r="E132" s="3">
        <v>38.7</v>
      </c>
      <c r="F132" s="3">
        <v>0</v>
      </c>
      <c r="G132" t="s">
        <v>820</v>
      </c>
      <c r="H132" t="s">
        <v>821</v>
      </c>
      <c r="I132" t="s">
        <v>820</v>
      </c>
      <c r="J132" t="s">
        <v>821</v>
      </c>
      <c r="K132" t="s">
        <v>820</v>
      </c>
    </row>
    <row r="133" spans="1:11">
      <c r="A133" t="s">
        <v>270</v>
      </c>
      <c r="B133" s="3">
        <v>0</v>
      </c>
      <c r="C133" s="3">
        <v>50.2</v>
      </c>
      <c r="D133" s="3">
        <v>87.90000000000001</v>
      </c>
      <c r="E133" s="3">
        <v>50.2</v>
      </c>
      <c r="F133" s="3">
        <v>0</v>
      </c>
      <c r="G133" t="s">
        <v>820</v>
      </c>
      <c r="H133" t="s">
        <v>822</v>
      </c>
      <c r="I133" t="s">
        <v>820</v>
      </c>
      <c r="J133" t="s">
        <v>822</v>
      </c>
      <c r="K133" t="s">
        <v>820</v>
      </c>
    </row>
    <row r="134" spans="1:11">
      <c r="A134" t="s">
        <v>272</v>
      </c>
      <c r="B134" s="3">
        <v>0</v>
      </c>
      <c r="C134" s="3">
        <v>51.8</v>
      </c>
      <c r="D134" s="3">
        <v>89.3</v>
      </c>
      <c r="E134" s="3">
        <v>51.8</v>
      </c>
      <c r="F134" s="3">
        <v>0</v>
      </c>
      <c r="G134" t="s">
        <v>820</v>
      </c>
      <c r="H134" t="s">
        <v>822</v>
      </c>
      <c r="I134" t="s">
        <v>820</v>
      </c>
      <c r="J134" t="s">
        <v>822</v>
      </c>
      <c r="K134" t="s">
        <v>820</v>
      </c>
    </row>
    <row r="135" spans="1:11">
      <c r="A135" t="s">
        <v>274</v>
      </c>
      <c r="B135" s="3">
        <v>0</v>
      </c>
      <c r="C135" s="3">
        <v>39</v>
      </c>
      <c r="D135" s="3">
        <v>87.3</v>
      </c>
      <c r="E135" s="3">
        <v>39</v>
      </c>
      <c r="F135" s="3">
        <v>0</v>
      </c>
      <c r="G135" t="s">
        <v>820</v>
      </c>
      <c r="H135" t="s">
        <v>821</v>
      </c>
      <c r="I135" t="s">
        <v>820</v>
      </c>
      <c r="J135" t="s">
        <v>821</v>
      </c>
      <c r="K135" t="s">
        <v>820</v>
      </c>
    </row>
    <row r="136" spans="1:11">
      <c r="A136" t="s">
        <v>276</v>
      </c>
      <c r="B136" s="3">
        <v>0</v>
      </c>
      <c r="C136" s="3">
        <v>44.3</v>
      </c>
      <c r="D136" s="3">
        <v>87.7</v>
      </c>
      <c r="E136" s="3">
        <v>44.3</v>
      </c>
      <c r="F136" s="3">
        <v>0</v>
      </c>
      <c r="G136" t="s">
        <v>820</v>
      </c>
      <c r="H136" t="s">
        <v>820</v>
      </c>
      <c r="I136" t="s">
        <v>820</v>
      </c>
      <c r="J136" t="s">
        <v>820</v>
      </c>
      <c r="K136" t="s">
        <v>820</v>
      </c>
    </row>
    <row r="137" spans="1:11">
      <c r="A137" t="s">
        <v>278</v>
      </c>
      <c r="B137" s="3">
        <v>0</v>
      </c>
      <c r="C137" s="3">
        <v>45.2</v>
      </c>
      <c r="D137" s="3">
        <v>86.8</v>
      </c>
      <c r="E137" s="3">
        <v>45.2</v>
      </c>
      <c r="F137" s="3">
        <v>0</v>
      </c>
      <c r="G137" t="s">
        <v>820</v>
      </c>
      <c r="H137" t="s">
        <v>820</v>
      </c>
      <c r="I137" t="s">
        <v>820</v>
      </c>
      <c r="J137" t="s">
        <v>820</v>
      </c>
      <c r="K137" t="s">
        <v>820</v>
      </c>
    </row>
    <row r="138" spans="1:11">
      <c r="A138" t="s">
        <v>280</v>
      </c>
      <c r="B138" s="3">
        <v>0</v>
      </c>
      <c r="C138" s="3">
        <v>49</v>
      </c>
      <c r="D138" s="3">
        <v>87.59999999999999</v>
      </c>
      <c r="E138" s="3">
        <v>49</v>
      </c>
      <c r="F138" s="3">
        <v>0</v>
      </c>
      <c r="G138" t="s">
        <v>820</v>
      </c>
      <c r="H138" t="s">
        <v>822</v>
      </c>
      <c r="I138" t="s">
        <v>820</v>
      </c>
      <c r="J138" t="s">
        <v>822</v>
      </c>
      <c r="K138" t="s">
        <v>820</v>
      </c>
    </row>
    <row r="139" spans="1:11">
      <c r="A139" t="s">
        <v>282</v>
      </c>
      <c r="B139" s="3">
        <v>0</v>
      </c>
      <c r="C139" s="3">
        <v>44.3</v>
      </c>
      <c r="D139" s="3">
        <v>87</v>
      </c>
      <c r="E139" s="3">
        <v>44.3</v>
      </c>
      <c r="F139" s="3">
        <v>0</v>
      </c>
      <c r="G139" t="s">
        <v>820</v>
      </c>
      <c r="H139" t="s">
        <v>820</v>
      </c>
      <c r="I139" t="s">
        <v>820</v>
      </c>
      <c r="J139" t="s">
        <v>820</v>
      </c>
      <c r="K139" t="s">
        <v>820</v>
      </c>
    </row>
    <row r="140" spans="1:11">
      <c r="A140" t="s">
        <v>284</v>
      </c>
      <c r="B140" s="3">
        <v>0</v>
      </c>
      <c r="C140" s="3">
        <v>47.6</v>
      </c>
      <c r="D140" s="3">
        <v>87.09999999999999</v>
      </c>
      <c r="E140" s="3">
        <v>47.6</v>
      </c>
      <c r="F140" s="3">
        <v>0</v>
      </c>
      <c r="G140" t="s">
        <v>820</v>
      </c>
      <c r="H140" t="s">
        <v>820</v>
      </c>
      <c r="I140" t="s">
        <v>820</v>
      </c>
      <c r="J140" t="s">
        <v>820</v>
      </c>
      <c r="K140" t="s">
        <v>820</v>
      </c>
    </row>
    <row r="141" spans="1:11">
      <c r="A141" t="s">
        <v>286</v>
      </c>
      <c r="B141" s="3">
        <v>0</v>
      </c>
      <c r="C141" s="3">
        <v>51</v>
      </c>
      <c r="D141" s="3">
        <v>88.3</v>
      </c>
      <c r="E141" s="3">
        <v>51</v>
      </c>
      <c r="F141" s="3">
        <v>0</v>
      </c>
      <c r="G141" t="s">
        <v>820</v>
      </c>
      <c r="H141" t="s">
        <v>822</v>
      </c>
      <c r="I141" t="s">
        <v>820</v>
      </c>
      <c r="J141" t="s">
        <v>822</v>
      </c>
      <c r="K141" t="s">
        <v>820</v>
      </c>
    </row>
    <row r="142" spans="1:11">
      <c r="A142" t="s">
        <v>288</v>
      </c>
      <c r="B142" s="3">
        <v>0</v>
      </c>
      <c r="C142" s="3">
        <v>48.8</v>
      </c>
      <c r="D142" s="3">
        <v>86.5</v>
      </c>
      <c r="E142" s="3">
        <v>48.8</v>
      </c>
      <c r="F142" s="3">
        <v>0</v>
      </c>
      <c r="G142" t="s">
        <v>820</v>
      </c>
      <c r="H142" t="s">
        <v>820</v>
      </c>
      <c r="I142" t="s">
        <v>820</v>
      </c>
      <c r="J142" t="s">
        <v>820</v>
      </c>
      <c r="K142" t="s">
        <v>820</v>
      </c>
    </row>
    <row r="143" spans="1:11">
      <c r="A143" t="s">
        <v>290</v>
      </c>
      <c r="B143" s="3">
        <v>0</v>
      </c>
      <c r="C143" s="3">
        <v>49</v>
      </c>
      <c r="D143" s="3">
        <v>86.7</v>
      </c>
      <c r="E143" s="3">
        <v>49</v>
      </c>
      <c r="F143" s="3">
        <v>0</v>
      </c>
      <c r="G143" t="s">
        <v>820</v>
      </c>
      <c r="H143" t="s">
        <v>820</v>
      </c>
      <c r="I143" t="s">
        <v>820</v>
      </c>
      <c r="J143" t="s">
        <v>820</v>
      </c>
      <c r="K143" t="s">
        <v>820</v>
      </c>
    </row>
    <row r="144" spans="1:11">
      <c r="A144" t="s">
        <v>292</v>
      </c>
      <c r="B144" s="3">
        <v>0</v>
      </c>
      <c r="C144" s="3">
        <v>42.9</v>
      </c>
      <c r="D144" s="3">
        <v>85.5</v>
      </c>
      <c r="E144" s="3">
        <v>42.9</v>
      </c>
      <c r="F144" s="3">
        <v>0</v>
      </c>
      <c r="G144" t="s">
        <v>820</v>
      </c>
      <c r="H144" t="s">
        <v>821</v>
      </c>
      <c r="I144" t="s">
        <v>820</v>
      </c>
      <c r="J144" t="s">
        <v>821</v>
      </c>
      <c r="K144" t="s">
        <v>820</v>
      </c>
    </row>
    <row r="145" spans="1:11">
      <c r="A145" t="s">
        <v>294</v>
      </c>
      <c r="B145" s="3">
        <v>0</v>
      </c>
      <c r="C145" s="3">
        <v>49</v>
      </c>
      <c r="D145" s="3">
        <v>87</v>
      </c>
      <c r="E145" s="3">
        <v>49</v>
      </c>
      <c r="F145" s="3">
        <v>0</v>
      </c>
      <c r="G145" t="s">
        <v>820</v>
      </c>
      <c r="H145" t="s">
        <v>820</v>
      </c>
      <c r="I145" t="s">
        <v>820</v>
      </c>
      <c r="J145" t="s">
        <v>820</v>
      </c>
      <c r="K145" t="s">
        <v>820</v>
      </c>
    </row>
    <row r="146" spans="1:11">
      <c r="A146" t="s">
        <v>296</v>
      </c>
      <c r="B146" s="3">
        <v>0</v>
      </c>
      <c r="C146" s="3">
        <v>47.2</v>
      </c>
      <c r="D146" s="3">
        <v>87.40000000000001</v>
      </c>
      <c r="E146" s="3">
        <v>47.2</v>
      </c>
      <c r="F146" s="3">
        <v>0</v>
      </c>
      <c r="G146" t="s">
        <v>820</v>
      </c>
      <c r="H146" t="s">
        <v>820</v>
      </c>
      <c r="I146" t="s">
        <v>820</v>
      </c>
      <c r="J146" t="s">
        <v>820</v>
      </c>
      <c r="K146" t="s">
        <v>820</v>
      </c>
    </row>
    <row r="147" spans="1:11">
      <c r="A147" t="s">
        <v>298</v>
      </c>
      <c r="B147" s="3">
        <v>0</v>
      </c>
      <c r="C147" s="3">
        <v>39.7</v>
      </c>
      <c r="D147" s="3">
        <v>86.40000000000001</v>
      </c>
      <c r="E147" s="3">
        <v>39.7</v>
      </c>
      <c r="F147" s="3">
        <v>0</v>
      </c>
      <c r="G147" t="s">
        <v>820</v>
      </c>
      <c r="H147" t="s">
        <v>821</v>
      </c>
      <c r="I147" t="s">
        <v>820</v>
      </c>
      <c r="J147" t="s">
        <v>821</v>
      </c>
      <c r="K147" t="s">
        <v>820</v>
      </c>
    </row>
    <row r="148" spans="1:11">
      <c r="A148" t="s">
        <v>300</v>
      </c>
      <c r="B148" s="3">
        <v>0</v>
      </c>
      <c r="C148" s="3">
        <v>43.2</v>
      </c>
      <c r="D148" s="3">
        <v>83.59999999999999</v>
      </c>
      <c r="E148" s="3">
        <v>43.2</v>
      </c>
      <c r="F148" s="3">
        <v>0</v>
      </c>
      <c r="G148" t="s">
        <v>820</v>
      </c>
      <c r="H148" t="s">
        <v>820</v>
      </c>
      <c r="I148" t="s">
        <v>821</v>
      </c>
      <c r="J148" t="s">
        <v>820</v>
      </c>
      <c r="K148" t="s">
        <v>820</v>
      </c>
    </row>
    <row r="149" spans="1:11">
      <c r="A149" t="s">
        <v>302</v>
      </c>
      <c r="B149" s="3">
        <v>0</v>
      </c>
      <c r="C149" s="3">
        <v>43.4</v>
      </c>
      <c r="D149" s="3">
        <v>85.5</v>
      </c>
      <c r="E149" s="3">
        <v>43.4</v>
      </c>
      <c r="F149" s="3">
        <v>0</v>
      </c>
      <c r="G149" t="s">
        <v>820</v>
      </c>
      <c r="H149" t="s">
        <v>820</v>
      </c>
      <c r="I149" t="s">
        <v>820</v>
      </c>
      <c r="J149" t="s">
        <v>820</v>
      </c>
      <c r="K149" t="s">
        <v>820</v>
      </c>
    </row>
    <row r="150" spans="1:11">
      <c r="A150" t="s">
        <v>304</v>
      </c>
      <c r="B150" s="3">
        <v>0</v>
      </c>
      <c r="C150" s="3">
        <v>39.5</v>
      </c>
      <c r="D150" s="3">
        <v>84.3</v>
      </c>
      <c r="E150" s="3">
        <v>39.5</v>
      </c>
      <c r="F150" s="3">
        <v>0</v>
      </c>
      <c r="G150" t="s">
        <v>820</v>
      </c>
      <c r="H150" t="s">
        <v>821</v>
      </c>
      <c r="I150" t="s">
        <v>820</v>
      </c>
      <c r="J150" t="s">
        <v>821</v>
      </c>
      <c r="K150" t="s">
        <v>820</v>
      </c>
    </row>
    <row r="151" spans="1:11">
      <c r="A151" t="s">
        <v>306</v>
      </c>
      <c r="B151" s="3">
        <v>0</v>
      </c>
      <c r="C151" s="3">
        <v>42</v>
      </c>
      <c r="D151" s="3">
        <v>85</v>
      </c>
      <c r="E151" s="3">
        <v>42</v>
      </c>
      <c r="F151" s="3">
        <v>0</v>
      </c>
      <c r="G151" t="s">
        <v>820</v>
      </c>
      <c r="H151" t="s">
        <v>820</v>
      </c>
      <c r="I151" t="s">
        <v>820</v>
      </c>
      <c r="J151" t="s">
        <v>820</v>
      </c>
      <c r="K151" t="s">
        <v>820</v>
      </c>
    </row>
    <row r="152" spans="1:11">
      <c r="A152" t="s">
        <v>308</v>
      </c>
      <c r="B152" s="3">
        <v>0</v>
      </c>
      <c r="C152" s="3">
        <v>48.6</v>
      </c>
      <c r="D152" s="3">
        <v>85.90000000000001</v>
      </c>
      <c r="E152" s="3">
        <v>48.6</v>
      </c>
      <c r="F152" s="3">
        <v>0</v>
      </c>
      <c r="G152" t="s">
        <v>820</v>
      </c>
      <c r="H152" t="s">
        <v>822</v>
      </c>
      <c r="I152" t="s">
        <v>820</v>
      </c>
      <c r="J152" t="s">
        <v>822</v>
      </c>
      <c r="K152" t="s">
        <v>820</v>
      </c>
    </row>
    <row r="153" spans="1:11">
      <c r="A153" t="s">
        <v>310</v>
      </c>
      <c r="B153" s="3">
        <v>0</v>
      </c>
      <c r="C153" s="3">
        <v>43.4</v>
      </c>
      <c r="D153" s="3">
        <v>85.3</v>
      </c>
      <c r="E153" s="3">
        <v>43.4</v>
      </c>
      <c r="F153" s="3">
        <v>0</v>
      </c>
      <c r="G153" t="s">
        <v>820</v>
      </c>
      <c r="H153" t="s">
        <v>820</v>
      </c>
      <c r="I153" t="s">
        <v>820</v>
      </c>
      <c r="J153" t="s">
        <v>820</v>
      </c>
      <c r="K153" t="s">
        <v>820</v>
      </c>
    </row>
    <row r="154" spans="1:11">
      <c r="A154" t="s">
        <v>312</v>
      </c>
      <c r="B154" s="3">
        <v>0</v>
      </c>
      <c r="C154" s="3">
        <v>43.8</v>
      </c>
      <c r="D154" s="3">
        <v>84.90000000000001</v>
      </c>
      <c r="E154" s="3">
        <v>43.8</v>
      </c>
      <c r="F154" s="3">
        <v>0</v>
      </c>
      <c r="G154" t="s">
        <v>820</v>
      </c>
      <c r="H154" t="s">
        <v>820</v>
      </c>
      <c r="I154" t="s">
        <v>820</v>
      </c>
      <c r="J154" t="s">
        <v>820</v>
      </c>
      <c r="K154" t="s">
        <v>820</v>
      </c>
    </row>
    <row r="155" spans="1:11">
      <c r="A155" t="s">
        <v>314</v>
      </c>
      <c r="B155" s="3">
        <v>0</v>
      </c>
      <c r="C155" s="3">
        <v>33.2</v>
      </c>
      <c r="D155" s="3">
        <v>80.8</v>
      </c>
      <c r="E155" s="3">
        <v>33.2</v>
      </c>
      <c r="F155" s="3">
        <v>0</v>
      </c>
      <c r="G155" t="s">
        <v>820</v>
      </c>
      <c r="H155" t="s">
        <v>821</v>
      </c>
      <c r="I155" t="s">
        <v>821</v>
      </c>
      <c r="J155" t="s">
        <v>821</v>
      </c>
      <c r="K155" t="s">
        <v>820</v>
      </c>
    </row>
    <row r="156" spans="1:11">
      <c r="A156" t="s">
        <v>316</v>
      </c>
      <c r="B156" s="3">
        <v>0</v>
      </c>
      <c r="C156" s="3">
        <v>42.7</v>
      </c>
      <c r="D156" s="3">
        <v>82</v>
      </c>
      <c r="E156" s="3">
        <v>42.7</v>
      </c>
      <c r="F156" s="3">
        <v>0</v>
      </c>
      <c r="G156" t="s">
        <v>820</v>
      </c>
      <c r="H156" t="s">
        <v>820</v>
      </c>
      <c r="I156" t="s">
        <v>820</v>
      </c>
      <c r="J156" t="s">
        <v>820</v>
      </c>
      <c r="K156" t="s">
        <v>820</v>
      </c>
    </row>
    <row r="157" spans="1:11">
      <c r="A157" t="s">
        <v>318</v>
      </c>
      <c r="B157" s="3">
        <v>0</v>
      </c>
      <c r="C157" s="3">
        <v>34.1</v>
      </c>
      <c r="D157" s="3">
        <v>81.3</v>
      </c>
      <c r="E157" s="3">
        <v>34.1</v>
      </c>
      <c r="F157" s="3">
        <v>0</v>
      </c>
      <c r="G157" t="s">
        <v>820</v>
      </c>
      <c r="H157" t="s">
        <v>821</v>
      </c>
      <c r="I157" t="s">
        <v>820</v>
      </c>
      <c r="J157" t="s">
        <v>821</v>
      </c>
      <c r="K157" t="s">
        <v>820</v>
      </c>
    </row>
    <row r="158" spans="1:11">
      <c r="A158" t="s">
        <v>320</v>
      </c>
      <c r="B158" s="3">
        <v>0</v>
      </c>
      <c r="C158" s="3">
        <v>38.5</v>
      </c>
      <c r="D158" s="3">
        <v>81.5</v>
      </c>
      <c r="E158" s="3">
        <v>38.5</v>
      </c>
      <c r="F158" s="3">
        <v>0</v>
      </c>
      <c r="G158" t="s">
        <v>820</v>
      </c>
      <c r="H158" t="s">
        <v>820</v>
      </c>
      <c r="I158" t="s">
        <v>820</v>
      </c>
      <c r="J158" t="s">
        <v>820</v>
      </c>
      <c r="K158" t="s">
        <v>820</v>
      </c>
    </row>
    <row r="159" spans="1:11">
      <c r="A159" t="s">
        <v>322</v>
      </c>
      <c r="B159" s="3">
        <v>0</v>
      </c>
      <c r="C159" s="3">
        <v>34.4</v>
      </c>
      <c r="D159" s="3">
        <v>81.3</v>
      </c>
      <c r="E159" s="3">
        <v>34.4</v>
      </c>
      <c r="F159" s="3">
        <v>0</v>
      </c>
      <c r="G159" t="s">
        <v>820</v>
      </c>
      <c r="H159" t="s">
        <v>821</v>
      </c>
      <c r="I159" t="s">
        <v>820</v>
      </c>
      <c r="J159" t="s">
        <v>821</v>
      </c>
      <c r="K159" t="s">
        <v>820</v>
      </c>
    </row>
    <row r="160" spans="1:11">
      <c r="A160" t="s">
        <v>324</v>
      </c>
      <c r="B160" s="3">
        <v>0</v>
      </c>
      <c r="C160" s="3">
        <v>42.7</v>
      </c>
      <c r="D160" s="3">
        <v>81.59999999999999</v>
      </c>
      <c r="E160" s="3">
        <v>42.7</v>
      </c>
      <c r="F160" s="3">
        <v>0</v>
      </c>
      <c r="G160" t="s">
        <v>820</v>
      </c>
      <c r="H160" t="s">
        <v>822</v>
      </c>
      <c r="I160" t="s">
        <v>820</v>
      </c>
      <c r="J160" t="s">
        <v>822</v>
      </c>
      <c r="K160" t="s">
        <v>820</v>
      </c>
    </row>
    <row r="161" spans="1:11">
      <c r="A161" t="s">
        <v>326</v>
      </c>
      <c r="B161" s="3">
        <v>0</v>
      </c>
      <c r="C161" s="3">
        <v>43.4</v>
      </c>
      <c r="D161" s="3">
        <v>82.8</v>
      </c>
      <c r="E161" s="3">
        <v>43.4</v>
      </c>
      <c r="F161" s="3">
        <v>0</v>
      </c>
      <c r="G161" t="s">
        <v>820</v>
      </c>
      <c r="H161" t="s">
        <v>822</v>
      </c>
      <c r="I161" t="s">
        <v>820</v>
      </c>
      <c r="J161" t="s">
        <v>822</v>
      </c>
      <c r="K161" t="s">
        <v>820</v>
      </c>
    </row>
    <row r="162" spans="1:11">
      <c r="A162" t="s">
        <v>328</v>
      </c>
      <c r="B162" s="3">
        <v>0</v>
      </c>
      <c r="C162" s="3">
        <v>42.2</v>
      </c>
      <c r="D162" s="3">
        <v>83.90000000000001</v>
      </c>
      <c r="E162" s="3">
        <v>42.2</v>
      </c>
      <c r="F162" s="3">
        <v>0</v>
      </c>
      <c r="G162" t="s">
        <v>820</v>
      </c>
      <c r="H162" t="s">
        <v>820</v>
      </c>
      <c r="I162" t="s">
        <v>820</v>
      </c>
      <c r="J162" t="s">
        <v>820</v>
      </c>
      <c r="K162" t="s">
        <v>820</v>
      </c>
    </row>
    <row r="163" spans="1:11">
      <c r="A163" t="s">
        <v>330</v>
      </c>
      <c r="B163" s="3">
        <v>0</v>
      </c>
      <c r="C163" s="3">
        <v>44.8</v>
      </c>
      <c r="D163" s="3">
        <v>82.3</v>
      </c>
      <c r="E163" s="3">
        <v>44.8</v>
      </c>
      <c r="F163" s="3">
        <v>0</v>
      </c>
      <c r="G163" t="s">
        <v>820</v>
      </c>
      <c r="H163" t="s">
        <v>822</v>
      </c>
      <c r="I163" t="s">
        <v>820</v>
      </c>
      <c r="J163" t="s">
        <v>822</v>
      </c>
      <c r="K163" t="s">
        <v>820</v>
      </c>
    </row>
    <row r="164" spans="1:11">
      <c r="A164" t="s">
        <v>332</v>
      </c>
      <c r="B164" s="3">
        <v>0</v>
      </c>
      <c r="C164" s="3">
        <v>43.2</v>
      </c>
      <c r="D164" s="3">
        <v>83.40000000000001</v>
      </c>
      <c r="E164" s="3">
        <v>43.2</v>
      </c>
      <c r="F164" s="3">
        <v>0</v>
      </c>
      <c r="G164" t="s">
        <v>820</v>
      </c>
      <c r="H164" t="s">
        <v>820</v>
      </c>
      <c r="I164" t="s">
        <v>820</v>
      </c>
      <c r="J164" t="s">
        <v>820</v>
      </c>
      <c r="K164" t="s">
        <v>820</v>
      </c>
    </row>
    <row r="165" spans="1:11">
      <c r="A165" t="s">
        <v>334</v>
      </c>
      <c r="B165" s="3">
        <v>0</v>
      </c>
      <c r="C165" s="3">
        <v>42</v>
      </c>
      <c r="D165" s="3">
        <v>81.59999999999999</v>
      </c>
      <c r="E165" s="3">
        <v>42</v>
      </c>
      <c r="F165" s="3">
        <v>0</v>
      </c>
      <c r="G165" t="s">
        <v>820</v>
      </c>
      <c r="H165" t="s">
        <v>820</v>
      </c>
      <c r="I165" t="s">
        <v>820</v>
      </c>
      <c r="J165" t="s">
        <v>820</v>
      </c>
      <c r="K165" t="s">
        <v>820</v>
      </c>
    </row>
    <row r="166" spans="1:11">
      <c r="A166" t="s">
        <v>336</v>
      </c>
      <c r="B166" s="3">
        <v>0</v>
      </c>
      <c r="C166" s="3">
        <v>41.5</v>
      </c>
      <c r="D166" s="3">
        <v>83</v>
      </c>
      <c r="E166" s="3">
        <v>41.5</v>
      </c>
      <c r="F166" s="3">
        <v>0</v>
      </c>
      <c r="G166" t="s">
        <v>820</v>
      </c>
      <c r="H166" t="s">
        <v>820</v>
      </c>
      <c r="I166" t="s">
        <v>820</v>
      </c>
      <c r="J166" t="s">
        <v>820</v>
      </c>
      <c r="K166" t="s">
        <v>820</v>
      </c>
    </row>
    <row r="167" spans="1:11">
      <c r="A167" t="s">
        <v>338</v>
      </c>
      <c r="B167" s="3">
        <v>0</v>
      </c>
      <c r="C167" s="3">
        <v>34.7</v>
      </c>
      <c r="D167" s="3">
        <v>79.7</v>
      </c>
      <c r="E167" s="3">
        <v>34.7</v>
      </c>
      <c r="F167" s="3">
        <v>0</v>
      </c>
      <c r="G167" t="s">
        <v>820</v>
      </c>
      <c r="H167" t="s">
        <v>821</v>
      </c>
      <c r="I167" t="s">
        <v>821</v>
      </c>
      <c r="J167" t="s">
        <v>821</v>
      </c>
      <c r="K167" t="s">
        <v>820</v>
      </c>
    </row>
    <row r="168" spans="1:11">
      <c r="A168" t="s">
        <v>340</v>
      </c>
      <c r="B168" s="3">
        <v>0</v>
      </c>
      <c r="C168" s="3">
        <v>36.6</v>
      </c>
      <c r="D168" s="3">
        <v>78.59999999999999</v>
      </c>
      <c r="E168" s="3">
        <v>36.6</v>
      </c>
      <c r="F168" s="3">
        <v>0</v>
      </c>
      <c r="G168" t="s">
        <v>820</v>
      </c>
      <c r="H168" t="s">
        <v>821</v>
      </c>
      <c r="I168" t="s">
        <v>821</v>
      </c>
      <c r="J168" t="s">
        <v>821</v>
      </c>
      <c r="K168" t="s">
        <v>820</v>
      </c>
    </row>
    <row r="169" spans="1:11">
      <c r="A169" t="s">
        <v>342</v>
      </c>
      <c r="B169" s="3">
        <v>0</v>
      </c>
      <c r="C169" s="3">
        <v>32.3</v>
      </c>
      <c r="D169" s="3">
        <v>77.8</v>
      </c>
      <c r="E169" s="3">
        <v>32.3</v>
      </c>
      <c r="F169" s="3">
        <v>0</v>
      </c>
      <c r="G169" t="s">
        <v>820</v>
      </c>
      <c r="H169" t="s">
        <v>821</v>
      </c>
      <c r="I169" t="s">
        <v>821</v>
      </c>
      <c r="J169" t="s">
        <v>821</v>
      </c>
      <c r="K169" t="s">
        <v>820</v>
      </c>
    </row>
    <row r="170" spans="1:11">
      <c r="A170" t="s">
        <v>344</v>
      </c>
      <c r="B170" s="3">
        <v>0</v>
      </c>
      <c r="C170" s="3">
        <v>43.6</v>
      </c>
      <c r="D170" s="3">
        <v>80.8</v>
      </c>
      <c r="E170" s="3">
        <v>43.6</v>
      </c>
      <c r="F170" s="3">
        <v>0</v>
      </c>
      <c r="G170" t="s">
        <v>820</v>
      </c>
      <c r="H170" t="s">
        <v>822</v>
      </c>
      <c r="I170" t="s">
        <v>820</v>
      </c>
      <c r="J170" t="s">
        <v>822</v>
      </c>
      <c r="K170" t="s">
        <v>820</v>
      </c>
    </row>
    <row r="171" spans="1:11">
      <c r="A171" t="s">
        <v>346</v>
      </c>
      <c r="B171" s="3">
        <v>0</v>
      </c>
      <c r="C171" s="3">
        <v>45.4</v>
      </c>
      <c r="D171" s="3">
        <v>81.90000000000001</v>
      </c>
      <c r="E171" s="3">
        <v>45.4</v>
      </c>
      <c r="F171" s="3">
        <v>0</v>
      </c>
      <c r="G171" t="s">
        <v>820</v>
      </c>
      <c r="H171" t="s">
        <v>822</v>
      </c>
      <c r="I171" t="s">
        <v>822</v>
      </c>
      <c r="J171" t="s">
        <v>822</v>
      </c>
      <c r="K171" t="s">
        <v>820</v>
      </c>
    </row>
    <row r="172" spans="1:11">
      <c r="A172" t="s">
        <v>348</v>
      </c>
      <c r="B172" s="3">
        <v>0</v>
      </c>
      <c r="C172" s="3">
        <v>41.2</v>
      </c>
      <c r="D172" s="3">
        <v>80.8</v>
      </c>
      <c r="E172" s="3">
        <v>41.2</v>
      </c>
      <c r="F172" s="3">
        <v>0</v>
      </c>
      <c r="G172" t="s">
        <v>820</v>
      </c>
      <c r="H172" t="s">
        <v>820</v>
      </c>
      <c r="I172" t="s">
        <v>820</v>
      </c>
      <c r="J172" t="s">
        <v>820</v>
      </c>
      <c r="K172" t="s">
        <v>820</v>
      </c>
    </row>
    <row r="173" spans="1:11">
      <c r="A173" t="s">
        <v>350</v>
      </c>
      <c r="B173" s="3">
        <v>0</v>
      </c>
      <c r="C173" s="3">
        <v>44.5</v>
      </c>
      <c r="D173" s="3">
        <v>81.40000000000001</v>
      </c>
      <c r="E173" s="3">
        <v>44.5</v>
      </c>
      <c r="F173" s="3">
        <v>0</v>
      </c>
      <c r="G173" t="s">
        <v>820</v>
      </c>
      <c r="H173" t="s">
        <v>822</v>
      </c>
      <c r="I173" t="s">
        <v>820</v>
      </c>
      <c r="J173" t="s">
        <v>822</v>
      </c>
      <c r="K173" t="s">
        <v>820</v>
      </c>
    </row>
    <row r="174" spans="1:11">
      <c r="A174" t="s">
        <v>352</v>
      </c>
      <c r="B174" s="3">
        <v>0</v>
      </c>
      <c r="C174" s="3">
        <v>36.3</v>
      </c>
      <c r="D174" s="3">
        <v>79.5</v>
      </c>
      <c r="E174" s="3">
        <v>36.3</v>
      </c>
      <c r="F174" s="3">
        <v>0</v>
      </c>
      <c r="G174" t="s">
        <v>820</v>
      </c>
      <c r="H174" t="s">
        <v>821</v>
      </c>
      <c r="I174" t="s">
        <v>820</v>
      </c>
      <c r="J174" t="s">
        <v>821</v>
      </c>
      <c r="K174" t="s">
        <v>820</v>
      </c>
    </row>
    <row r="175" spans="1:11">
      <c r="A175" t="s">
        <v>354</v>
      </c>
      <c r="B175" s="3">
        <v>0</v>
      </c>
      <c r="C175" s="3">
        <v>34.7</v>
      </c>
      <c r="D175" s="3">
        <v>78.8</v>
      </c>
      <c r="E175" s="3">
        <v>34.7</v>
      </c>
      <c r="F175" s="3">
        <v>0</v>
      </c>
      <c r="G175" t="s">
        <v>820</v>
      </c>
      <c r="H175" t="s">
        <v>821</v>
      </c>
      <c r="I175" t="s">
        <v>820</v>
      </c>
      <c r="J175" t="s">
        <v>821</v>
      </c>
      <c r="K175" t="s">
        <v>820</v>
      </c>
    </row>
    <row r="176" spans="1:11">
      <c r="A176" t="s">
        <v>356</v>
      </c>
      <c r="B176" s="3">
        <v>0</v>
      </c>
      <c r="C176" s="3">
        <v>42.9</v>
      </c>
      <c r="D176" s="3">
        <v>79.90000000000001</v>
      </c>
      <c r="E176" s="3">
        <v>42.9</v>
      </c>
      <c r="F176" s="3">
        <v>0</v>
      </c>
      <c r="G176" t="s">
        <v>820</v>
      </c>
      <c r="H176" t="s">
        <v>822</v>
      </c>
      <c r="I176" t="s">
        <v>820</v>
      </c>
      <c r="J176" t="s">
        <v>822</v>
      </c>
      <c r="K176" t="s">
        <v>820</v>
      </c>
    </row>
    <row r="177" spans="1:11">
      <c r="A177" t="s">
        <v>358</v>
      </c>
      <c r="B177" s="3">
        <v>0</v>
      </c>
      <c r="C177" s="3">
        <v>43.6</v>
      </c>
      <c r="D177" s="3">
        <v>80.8</v>
      </c>
      <c r="E177" s="3">
        <v>43.6</v>
      </c>
      <c r="F177" s="3">
        <v>0</v>
      </c>
      <c r="G177" t="s">
        <v>820</v>
      </c>
      <c r="H177" t="s">
        <v>822</v>
      </c>
      <c r="I177" t="s">
        <v>820</v>
      </c>
      <c r="J177" t="s">
        <v>822</v>
      </c>
      <c r="K177" t="s">
        <v>820</v>
      </c>
    </row>
    <row r="178" spans="1:11">
      <c r="A178" t="s">
        <v>360</v>
      </c>
      <c r="B178" s="3">
        <v>0</v>
      </c>
      <c r="C178" s="3">
        <v>38.2</v>
      </c>
      <c r="D178" s="3">
        <v>79.3</v>
      </c>
      <c r="E178" s="3">
        <v>38.2</v>
      </c>
      <c r="F178" s="3">
        <v>0</v>
      </c>
      <c r="G178" t="s">
        <v>820</v>
      </c>
      <c r="H178" t="s">
        <v>820</v>
      </c>
      <c r="I178" t="s">
        <v>820</v>
      </c>
      <c r="J178" t="s">
        <v>820</v>
      </c>
      <c r="K178" t="s">
        <v>820</v>
      </c>
    </row>
    <row r="179" spans="1:11">
      <c r="A179" t="s">
        <v>362</v>
      </c>
      <c r="B179" s="3">
        <v>0</v>
      </c>
      <c r="C179" s="3">
        <v>39.7</v>
      </c>
      <c r="D179" s="3">
        <v>78.09999999999999</v>
      </c>
      <c r="E179" s="3">
        <v>39.7</v>
      </c>
      <c r="F179" s="3">
        <v>0</v>
      </c>
      <c r="G179" t="s">
        <v>820</v>
      </c>
      <c r="H179" t="s">
        <v>820</v>
      </c>
      <c r="I179" t="s">
        <v>820</v>
      </c>
      <c r="J179" t="s">
        <v>820</v>
      </c>
      <c r="K179" t="s">
        <v>820</v>
      </c>
    </row>
    <row r="180" spans="1:11">
      <c r="A180" t="s">
        <v>364</v>
      </c>
      <c r="B180" s="3">
        <v>0</v>
      </c>
      <c r="C180" s="3">
        <v>39</v>
      </c>
      <c r="D180" s="3">
        <v>78.59999999999999</v>
      </c>
      <c r="E180" s="3">
        <v>39</v>
      </c>
      <c r="F180" s="3">
        <v>0</v>
      </c>
      <c r="G180" t="s">
        <v>820</v>
      </c>
      <c r="H180" t="s">
        <v>820</v>
      </c>
      <c r="I180" t="s">
        <v>820</v>
      </c>
      <c r="J180" t="s">
        <v>820</v>
      </c>
      <c r="K180" t="s">
        <v>820</v>
      </c>
    </row>
    <row r="181" spans="1:11">
      <c r="A181" t="s">
        <v>366</v>
      </c>
      <c r="B181" s="3">
        <v>0</v>
      </c>
      <c r="C181" s="3">
        <v>37.1</v>
      </c>
      <c r="D181" s="3">
        <v>77.90000000000001</v>
      </c>
      <c r="E181" s="3">
        <v>37.1</v>
      </c>
      <c r="F181" s="3">
        <v>0</v>
      </c>
      <c r="G181" t="s">
        <v>820</v>
      </c>
      <c r="H181" t="s">
        <v>821</v>
      </c>
      <c r="I181" t="s">
        <v>820</v>
      </c>
      <c r="J181" t="s">
        <v>821</v>
      </c>
      <c r="K181" t="s">
        <v>820</v>
      </c>
    </row>
    <row r="182" spans="1:11">
      <c r="A182" t="s">
        <v>368</v>
      </c>
      <c r="B182" s="3">
        <v>0</v>
      </c>
      <c r="C182" s="3">
        <v>42.4</v>
      </c>
      <c r="D182" s="3">
        <v>78.7</v>
      </c>
      <c r="E182" s="3">
        <v>42.4</v>
      </c>
      <c r="F182" s="3">
        <v>0</v>
      </c>
      <c r="G182" t="s">
        <v>820</v>
      </c>
      <c r="H182" t="s">
        <v>822</v>
      </c>
      <c r="I182" t="s">
        <v>820</v>
      </c>
      <c r="J182" t="s">
        <v>822</v>
      </c>
      <c r="K182" t="s">
        <v>820</v>
      </c>
    </row>
    <row r="183" spans="1:11">
      <c r="A183" t="s">
        <v>370</v>
      </c>
      <c r="B183" s="3">
        <v>0</v>
      </c>
      <c r="C183" s="3">
        <v>39</v>
      </c>
      <c r="D183" s="3">
        <v>79.09999999999999</v>
      </c>
      <c r="E183" s="3">
        <v>39</v>
      </c>
      <c r="F183" s="3">
        <v>0</v>
      </c>
      <c r="G183" t="s">
        <v>820</v>
      </c>
      <c r="H183" t="s">
        <v>820</v>
      </c>
      <c r="I183" t="s">
        <v>820</v>
      </c>
      <c r="J183" t="s">
        <v>820</v>
      </c>
      <c r="K183" t="s">
        <v>820</v>
      </c>
    </row>
    <row r="184" spans="1:11">
      <c r="A184" t="s">
        <v>372</v>
      </c>
      <c r="B184" s="3">
        <v>0</v>
      </c>
      <c r="C184" s="3">
        <v>37.1</v>
      </c>
      <c r="D184" s="3">
        <v>77.3</v>
      </c>
      <c r="E184" s="3">
        <v>37.1</v>
      </c>
      <c r="F184" s="3">
        <v>0</v>
      </c>
      <c r="G184" t="s">
        <v>820</v>
      </c>
      <c r="H184" t="s">
        <v>820</v>
      </c>
      <c r="I184" t="s">
        <v>820</v>
      </c>
      <c r="J184" t="s">
        <v>820</v>
      </c>
      <c r="K184" t="s">
        <v>820</v>
      </c>
    </row>
    <row r="185" spans="1:11">
      <c r="A185" t="s">
        <v>374</v>
      </c>
      <c r="B185" s="3">
        <v>0</v>
      </c>
      <c r="C185" s="3">
        <v>37.4</v>
      </c>
      <c r="D185" s="3">
        <v>76</v>
      </c>
      <c r="E185" s="3">
        <v>37.4</v>
      </c>
      <c r="F185" s="3">
        <v>0</v>
      </c>
      <c r="G185" t="s">
        <v>820</v>
      </c>
      <c r="H185" t="s">
        <v>820</v>
      </c>
      <c r="I185" t="s">
        <v>820</v>
      </c>
      <c r="J185" t="s">
        <v>820</v>
      </c>
      <c r="K185" t="s">
        <v>820</v>
      </c>
    </row>
    <row r="186" spans="1:11">
      <c r="A186" t="s">
        <v>376</v>
      </c>
      <c r="B186" s="3">
        <v>0</v>
      </c>
      <c r="C186" s="3">
        <v>37.1</v>
      </c>
      <c r="D186" s="3">
        <v>75.7</v>
      </c>
      <c r="E186" s="3">
        <v>37.1</v>
      </c>
      <c r="F186" s="3">
        <v>0</v>
      </c>
      <c r="G186" t="s">
        <v>820</v>
      </c>
      <c r="H186" t="s">
        <v>820</v>
      </c>
      <c r="I186" t="s">
        <v>820</v>
      </c>
      <c r="J186" t="s">
        <v>820</v>
      </c>
      <c r="K186" t="s">
        <v>820</v>
      </c>
    </row>
    <row r="187" spans="1:11">
      <c r="A187" t="s">
        <v>378</v>
      </c>
      <c r="B187" s="3">
        <v>0</v>
      </c>
      <c r="C187" s="3">
        <v>42.2</v>
      </c>
      <c r="D187" s="3">
        <v>77.7</v>
      </c>
      <c r="E187" s="3">
        <v>42.2</v>
      </c>
      <c r="F187" s="3">
        <v>0</v>
      </c>
      <c r="G187" t="s">
        <v>820</v>
      </c>
      <c r="H187" t="s">
        <v>822</v>
      </c>
      <c r="I187" t="s">
        <v>820</v>
      </c>
      <c r="J187" t="s">
        <v>822</v>
      </c>
      <c r="K187" t="s">
        <v>820</v>
      </c>
    </row>
    <row r="188" spans="1:11">
      <c r="A188" t="s">
        <v>380</v>
      </c>
      <c r="B188" s="3">
        <v>0</v>
      </c>
      <c r="C188" s="3">
        <v>44.8</v>
      </c>
      <c r="D188" s="3">
        <v>78.90000000000001</v>
      </c>
      <c r="E188" s="3">
        <v>44.8</v>
      </c>
      <c r="F188" s="3">
        <v>0</v>
      </c>
      <c r="G188" t="s">
        <v>820</v>
      </c>
      <c r="H188" t="s">
        <v>822</v>
      </c>
      <c r="I188" t="s">
        <v>820</v>
      </c>
      <c r="J188" t="s">
        <v>822</v>
      </c>
      <c r="K188" t="s">
        <v>820</v>
      </c>
    </row>
    <row r="189" spans="1:11">
      <c r="A189" t="s">
        <v>382</v>
      </c>
      <c r="B189" s="3">
        <v>0</v>
      </c>
      <c r="C189" s="3">
        <v>42.7</v>
      </c>
      <c r="D189" s="3">
        <v>78.90000000000001</v>
      </c>
      <c r="E189" s="3">
        <v>42.7</v>
      </c>
      <c r="F189" s="3">
        <v>0</v>
      </c>
      <c r="G189" t="s">
        <v>820</v>
      </c>
      <c r="H189" t="s">
        <v>820</v>
      </c>
      <c r="I189" t="s">
        <v>820</v>
      </c>
      <c r="J189" t="s">
        <v>820</v>
      </c>
      <c r="K189" t="s">
        <v>820</v>
      </c>
    </row>
    <row r="190" spans="1:11">
      <c r="A190" t="s">
        <v>384</v>
      </c>
      <c r="B190" s="3">
        <v>0</v>
      </c>
      <c r="C190" s="3">
        <v>42.2</v>
      </c>
      <c r="D190" s="3">
        <v>78.3</v>
      </c>
      <c r="E190" s="3">
        <v>42.2</v>
      </c>
      <c r="F190" s="3">
        <v>0</v>
      </c>
      <c r="G190" t="s">
        <v>820</v>
      </c>
      <c r="H190" t="s">
        <v>820</v>
      </c>
      <c r="I190" t="s">
        <v>820</v>
      </c>
      <c r="J190" t="s">
        <v>820</v>
      </c>
      <c r="K190" t="s">
        <v>820</v>
      </c>
    </row>
    <row r="191" spans="1:11">
      <c r="A191" t="s">
        <v>386</v>
      </c>
      <c r="B191" s="3">
        <v>0</v>
      </c>
      <c r="C191" s="3">
        <v>41.2</v>
      </c>
      <c r="D191" s="3">
        <v>77.3</v>
      </c>
      <c r="E191" s="3">
        <v>41.2</v>
      </c>
      <c r="F191" s="3">
        <v>0</v>
      </c>
      <c r="G191" t="s">
        <v>820</v>
      </c>
      <c r="H191" t="s">
        <v>820</v>
      </c>
      <c r="I191" t="s">
        <v>820</v>
      </c>
      <c r="J191" t="s">
        <v>820</v>
      </c>
      <c r="K191" t="s">
        <v>820</v>
      </c>
    </row>
    <row r="192" spans="1:11">
      <c r="A192" t="s">
        <v>388</v>
      </c>
      <c r="B192" s="3">
        <v>0</v>
      </c>
      <c r="C192" s="3">
        <v>45</v>
      </c>
      <c r="D192" s="3">
        <v>78.2</v>
      </c>
      <c r="E192" s="3">
        <v>45</v>
      </c>
      <c r="F192" s="3">
        <v>0</v>
      </c>
      <c r="G192" t="s">
        <v>820</v>
      </c>
      <c r="H192" t="s">
        <v>820</v>
      </c>
      <c r="I192" t="s">
        <v>820</v>
      </c>
      <c r="J192" t="s">
        <v>820</v>
      </c>
      <c r="K192" t="s">
        <v>820</v>
      </c>
    </row>
    <row r="193" spans="1:11">
      <c r="A193" t="s">
        <v>390</v>
      </c>
      <c r="B193" s="3">
        <v>0</v>
      </c>
      <c r="C193" s="3">
        <v>44.3</v>
      </c>
      <c r="D193" s="3">
        <v>78.59999999999999</v>
      </c>
      <c r="E193" s="3">
        <v>44.3</v>
      </c>
      <c r="F193" s="3">
        <v>0</v>
      </c>
      <c r="G193" t="s">
        <v>820</v>
      </c>
      <c r="H193" t="s">
        <v>820</v>
      </c>
      <c r="I193" t="s">
        <v>820</v>
      </c>
      <c r="J193" t="s">
        <v>820</v>
      </c>
      <c r="K193" t="s">
        <v>820</v>
      </c>
    </row>
    <row r="194" spans="1:11">
      <c r="A194" t="s">
        <v>392</v>
      </c>
      <c r="B194" s="3">
        <v>0</v>
      </c>
      <c r="C194" s="3">
        <v>44.3</v>
      </c>
      <c r="D194" s="3">
        <v>78.8</v>
      </c>
      <c r="E194" s="3">
        <v>44.3</v>
      </c>
      <c r="F194" s="3">
        <v>0</v>
      </c>
      <c r="G194" t="s">
        <v>820</v>
      </c>
      <c r="H194" t="s">
        <v>820</v>
      </c>
      <c r="I194" t="s">
        <v>820</v>
      </c>
      <c r="J194" t="s">
        <v>820</v>
      </c>
      <c r="K194" t="s">
        <v>820</v>
      </c>
    </row>
    <row r="195" spans="1:11">
      <c r="A195" t="s">
        <v>394</v>
      </c>
      <c r="B195" s="3">
        <v>0</v>
      </c>
      <c r="C195" s="3">
        <v>43.2</v>
      </c>
      <c r="D195" s="3">
        <v>76.8</v>
      </c>
      <c r="E195" s="3">
        <v>43.2</v>
      </c>
      <c r="F195" s="3">
        <v>0</v>
      </c>
      <c r="G195" t="s">
        <v>820</v>
      </c>
      <c r="H195" t="s">
        <v>820</v>
      </c>
      <c r="I195" t="s">
        <v>820</v>
      </c>
      <c r="J195" t="s">
        <v>820</v>
      </c>
      <c r="K195" t="s">
        <v>820</v>
      </c>
    </row>
    <row r="196" spans="1:11">
      <c r="A196" t="s">
        <v>396</v>
      </c>
      <c r="B196" s="3">
        <v>0</v>
      </c>
      <c r="C196" s="3">
        <v>42.9</v>
      </c>
      <c r="D196" s="3">
        <v>77.3</v>
      </c>
      <c r="E196" s="3">
        <v>42.9</v>
      </c>
      <c r="F196" s="3">
        <v>0</v>
      </c>
      <c r="G196" t="s">
        <v>820</v>
      </c>
      <c r="H196" t="s">
        <v>820</v>
      </c>
      <c r="I196" t="s">
        <v>820</v>
      </c>
      <c r="J196" t="s">
        <v>820</v>
      </c>
      <c r="K196" t="s">
        <v>820</v>
      </c>
    </row>
    <row r="197" spans="1:11">
      <c r="A197" t="s">
        <v>398</v>
      </c>
      <c r="B197" s="3">
        <v>0</v>
      </c>
      <c r="C197" s="3">
        <v>40.3</v>
      </c>
      <c r="D197" s="3">
        <v>75.3</v>
      </c>
      <c r="E197" s="3">
        <v>40.3</v>
      </c>
      <c r="F197" s="3">
        <v>0</v>
      </c>
      <c r="G197" t="s">
        <v>820</v>
      </c>
      <c r="H197" t="s">
        <v>821</v>
      </c>
      <c r="I197" t="s">
        <v>821</v>
      </c>
      <c r="J197" t="s">
        <v>821</v>
      </c>
      <c r="K197" t="s">
        <v>820</v>
      </c>
    </row>
    <row r="198" spans="1:11">
      <c r="A198" t="s">
        <v>400</v>
      </c>
      <c r="B198" s="3">
        <v>0</v>
      </c>
      <c r="C198" s="3">
        <v>38.5</v>
      </c>
      <c r="D198" s="3">
        <v>74.8</v>
      </c>
      <c r="E198" s="3">
        <v>38.5</v>
      </c>
      <c r="F198" s="3">
        <v>0</v>
      </c>
      <c r="G198" t="s">
        <v>820</v>
      </c>
      <c r="H198" t="s">
        <v>821</v>
      </c>
      <c r="I198" t="s">
        <v>820</v>
      </c>
      <c r="J198" t="s">
        <v>821</v>
      </c>
      <c r="K198" t="s">
        <v>820</v>
      </c>
    </row>
    <row r="199" spans="1:11">
      <c r="A199" t="s">
        <v>402</v>
      </c>
      <c r="B199" s="3">
        <v>0</v>
      </c>
      <c r="C199" s="3">
        <v>42.4</v>
      </c>
      <c r="D199" s="3">
        <v>75.8</v>
      </c>
      <c r="E199" s="3">
        <v>42.4</v>
      </c>
      <c r="F199" s="3">
        <v>0</v>
      </c>
      <c r="G199" t="s">
        <v>820</v>
      </c>
      <c r="H199" t="s">
        <v>820</v>
      </c>
      <c r="I199" t="s">
        <v>820</v>
      </c>
      <c r="J199" t="s">
        <v>820</v>
      </c>
      <c r="K199" t="s">
        <v>820</v>
      </c>
    </row>
    <row r="200" spans="1:11">
      <c r="A200" t="s">
        <v>404</v>
      </c>
      <c r="B200" s="3">
        <v>0</v>
      </c>
      <c r="C200" s="3">
        <v>37.9</v>
      </c>
      <c r="D200" s="3">
        <v>74.40000000000001</v>
      </c>
      <c r="E200" s="3">
        <v>37.9</v>
      </c>
      <c r="F200" s="3">
        <v>0</v>
      </c>
      <c r="G200" t="s">
        <v>820</v>
      </c>
      <c r="H200" t="s">
        <v>821</v>
      </c>
      <c r="I200" t="s">
        <v>820</v>
      </c>
      <c r="J200" t="s">
        <v>821</v>
      </c>
      <c r="K200" t="s">
        <v>820</v>
      </c>
    </row>
    <row r="201" spans="1:11">
      <c r="A201" t="s">
        <v>406</v>
      </c>
      <c r="B201" s="3">
        <v>0</v>
      </c>
      <c r="C201" s="3">
        <v>39.5</v>
      </c>
      <c r="D201" s="3">
        <v>74.7</v>
      </c>
      <c r="E201" s="3">
        <v>39.5</v>
      </c>
      <c r="F201" s="3">
        <v>0</v>
      </c>
      <c r="G201" t="s">
        <v>820</v>
      </c>
      <c r="H201" t="s">
        <v>820</v>
      </c>
      <c r="I201" t="s">
        <v>820</v>
      </c>
      <c r="J201" t="s">
        <v>820</v>
      </c>
      <c r="K201" t="s">
        <v>820</v>
      </c>
    </row>
    <row r="202" spans="1:11">
      <c r="A202" t="s">
        <v>408</v>
      </c>
      <c r="B202" s="3">
        <v>0</v>
      </c>
      <c r="C202" s="3">
        <v>37.9</v>
      </c>
      <c r="D202" s="3">
        <v>73.7</v>
      </c>
      <c r="E202" s="3">
        <v>37.9</v>
      </c>
      <c r="F202" s="3">
        <v>0</v>
      </c>
      <c r="G202" t="s">
        <v>820</v>
      </c>
      <c r="H202" t="s">
        <v>820</v>
      </c>
      <c r="I202" t="s">
        <v>820</v>
      </c>
      <c r="J202" t="s">
        <v>820</v>
      </c>
      <c r="K202" t="s">
        <v>820</v>
      </c>
    </row>
    <row r="203" spans="1:11">
      <c r="A203" t="s">
        <v>410</v>
      </c>
      <c r="B203" s="3">
        <v>0</v>
      </c>
      <c r="C203" s="3">
        <v>37.4</v>
      </c>
      <c r="D203" s="3">
        <v>73.8</v>
      </c>
      <c r="E203" s="3">
        <v>37.4</v>
      </c>
      <c r="F203" s="3">
        <v>0</v>
      </c>
      <c r="G203" t="s">
        <v>820</v>
      </c>
      <c r="H203" t="s">
        <v>820</v>
      </c>
      <c r="I203" t="s">
        <v>820</v>
      </c>
      <c r="J203" t="s">
        <v>820</v>
      </c>
      <c r="K203" t="s">
        <v>820</v>
      </c>
    </row>
    <row r="204" spans="1:11">
      <c r="A204" t="s">
        <v>412</v>
      </c>
      <c r="B204" s="3">
        <v>0</v>
      </c>
      <c r="C204" s="3">
        <v>40.5</v>
      </c>
      <c r="D204" s="3">
        <v>74.5</v>
      </c>
      <c r="E204" s="3">
        <v>40.5</v>
      </c>
      <c r="F204" s="3">
        <v>0</v>
      </c>
      <c r="G204" t="s">
        <v>820</v>
      </c>
      <c r="H204" t="s">
        <v>820</v>
      </c>
      <c r="I204" t="s">
        <v>820</v>
      </c>
      <c r="J204" t="s">
        <v>820</v>
      </c>
      <c r="K204" t="s">
        <v>820</v>
      </c>
    </row>
    <row r="205" spans="1:11">
      <c r="A205" t="s">
        <v>414</v>
      </c>
      <c r="B205" s="3">
        <v>0</v>
      </c>
      <c r="C205" s="3">
        <v>41</v>
      </c>
      <c r="D205" s="3">
        <v>74.3</v>
      </c>
      <c r="E205" s="3">
        <v>41</v>
      </c>
      <c r="F205" s="3">
        <v>0</v>
      </c>
      <c r="G205" t="s">
        <v>820</v>
      </c>
      <c r="H205" t="s">
        <v>820</v>
      </c>
      <c r="I205" t="s">
        <v>820</v>
      </c>
      <c r="J205" t="s">
        <v>820</v>
      </c>
      <c r="K205" t="s">
        <v>820</v>
      </c>
    </row>
    <row r="206" spans="1:11">
      <c r="A206" t="s">
        <v>416</v>
      </c>
      <c r="B206" s="3">
        <v>0</v>
      </c>
      <c r="C206" s="3">
        <v>39.2</v>
      </c>
      <c r="D206" s="3">
        <v>74.5</v>
      </c>
      <c r="E206" s="3">
        <v>39.2</v>
      </c>
      <c r="F206" s="3">
        <v>0</v>
      </c>
      <c r="G206" t="s">
        <v>820</v>
      </c>
      <c r="H206" t="s">
        <v>820</v>
      </c>
      <c r="I206" t="s">
        <v>820</v>
      </c>
      <c r="J206" t="s">
        <v>820</v>
      </c>
      <c r="K206" t="s">
        <v>820</v>
      </c>
    </row>
    <row r="207" spans="1:11">
      <c r="A207" t="s">
        <v>418</v>
      </c>
      <c r="B207" s="3">
        <v>0</v>
      </c>
      <c r="C207" s="3">
        <v>42.4</v>
      </c>
      <c r="D207" s="3">
        <v>75.5</v>
      </c>
      <c r="E207" s="3">
        <v>42.4</v>
      </c>
      <c r="F207" s="3">
        <v>0</v>
      </c>
      <c r="G207" t="s">
        <v>820</v>
      </c>
      <c r="H207" t="s">
        <v>822</v>
      </c>
      <c r="I207" t="s">
        <v>820</v>
      </c>
      <c r="J207" t="s">
        <v>822</v>
      </c>
      <c r="K207" t="s">
        <v>820</v>
      </c>
    </row>
    <row r="208" spans="1:11">
      <c r="A208" t="s">
        <v>420</v>
      </c>
      <c r="B208" s="3">
        <v>0</v>
      </c>
      <c r="C208" s="3">
        <v>41.2</v>
      </c>
      <c r="D208" s="3">
        <v>74.40000000000001</v>
      </c>
      <c r="E208" s="3">
        <v>41.2</v>
      </c>
      <c r="F208" s="3">
        <v>0</v>
      </c>
      <c r="G208" t="s">
        <v>820</v>
      </c>
      <c r="H208" t="s">
        <v>820</v>
      </c>
      <c r="I208" t="s">
        <v>820</v>
      </c>
      <c r="J208" t="s">
        <v>820</v>
      </c>
      <c r="K208" t="s">
        <v>820</v>
      </c>
    </row>
    <row r="209" spans="1:11">
      <c r="A209" t="s">
        <v>422</v>
      </c>
      <c r="B209" s="3">
        <v>0</v>
      </c>
      <c r="C209" s="3">
        <v>41.5</v>
      </c>
      <c r="D209" s="3">
        <v>75.40000000000001</v>
      </c>
      <c r="E209" s="3">
        <v>41.5</v>
      </c>
      <c r="F209" s="3">
        <v>0</v>
      </c>
      <c r="G209" t="s">
        <v>820</v>
      </c>
      <c r="H209" t="s">
        <v>820</v>
      </c>
      <c r="I209" t="s">
        <v>820</v>
      </c>
      <c r="J209" t="s">
        <v>820</v>
      </c>
      <c r="K209" t="s">
        <v>820</v>
      </c>
    </row>
    <row r="210" spans="1:11">
      <c r="A210" t="s">
        <v>424</v>
      </c>
      <c r="B210" s="3">
        <v>0</v>
      </c>
      <c r="C210" s="3">
        <v>41</v>
      </c>
      <c r="D210" s="3">
        <v>75</v>
      </c>
      <c r="E210" s="3">
        <v>41</v>
      </c>
      <c r="F210" s="3">
        <v>0</v>
      </c>
      <c r="G210" t="s">
        <v>820</v>
      </c>
      <c r="H210" t="s">
        <v>820</v>
      </c>
      <c r="I210" t="s">
        <v>820</v>
      </c>
      <c r="J210" t="s">
        <v>820</v>
      </c>
      <c r="K210" t="s">
        <v>820</v>
      </c>
    </row>
    <row r="211" spans="1:11">
      <c r="A211" t="s">
        <v>426</v>
      </c>
      <c r="B211" s="3">
        <v>0</v>
      </c>
      <c r="C211" s="3">
        <v>42.4</v>
      </c>
      <c r="D211" s="3">
        <v>74.59999999999999</v>
      </c>
      <c r="E211" s="3">
        <v>42.4</v>
      </c>
      <c r="F211" s="3">
        <v>0</v>
      </c>
      <c r="G211" t="s">
        <v>820</v>
      </c>
      <c r="H211" t="s">
        <v>820</v>
      </c>
      <c r="I211" t="s">
        <v>820</v>
      </c>
      <c r="J211" t="s">
        <v>820</v>
      </c>
      <c r="K211" t="s">
        <v>820</v>
      </c>
    </row>
    <row r="212" spans="1:11">
      <c r="A212" t="s">
        <v>428</v>
      </c>
      <c r="B212" s="3">
        <v>0</v>
      </c>
      <c r="C212" s="3">
        <v>36.3</v>
      </c>
      <c r="D212" s="3">
        <v>72.3</v>
      </c>
      <c r="E212" s="3">
        <v>36.3</v>
      </c>
      <c r="F212" s="3">
        <v>0</v>
      </c>
      <c r="G212" t="s">
        <v>820</v>
      </c>
      <c r="H212" t="s">
        <v>821</v>
      </c>
      <c r="I212" t="s">
        <v>821</v>
      </c>
      <c r="J212" t="s">
        <v>821</v>
      </c>
      <c r="K212" t="s">
        <v>820</v>
      </c>
    </row>
    <row r="213" spans="1:11">
      <c r="A213" t="s">
        <v>430</v>
      </c>
      <c r="B213" s="3">
        <v>0</v>
      </c>
      <c r="C213" s="3">
        <v>41</v>
      </c>
      <c r="D213" s="3">
        <v>73.7</v>
      </c>
      <c r="E213" s="3">
        <v>41</v>
      </c>
      <c r="F213" s="3">
        <v>0</v>
      </c>
      <c r="G213" t="s">
        <v>820</v>
      </c>
      <c r="H213" t="s">
        <v>820</v>
      </c>
      <c r="I213" t="s">
        <v>820</v>
      </c>
      <c r="J213" t="s">
        <v>820</v>
      </c>
      <c r="K213" t="s">
        <v>820</v>
      </c>
    </row>
    <row r="214" spans="1:11">
      <c r="A214" t="s">
        <v>432</v>
      </c>
      <c r="B214" s="3">
        <v>0</v>
      </c>
      <c r="C214" s="3">
        <v>43.4</v>
      </c>
      <c r="D214" s="3">
        <v>75.40000000000001</v>
      </c>
      <c r="E214" s="3">
        <v>43.4</v>
      </c>
      <c r="F214" s="3">
        <v>0</v>
      </c>
      <c r="G214" t="s">
        <v>820</v>
      </c>
      <c r="H214" t="s">
        <v>822</v>
      </c>
      <c r="I214" t="s">
        <v>820</v>
      </c>
      <c r="J214" t="s">
        <v>822</v>
      </c>
      <c r="K214" t="s">
        <v>820</v>
      </c>
    </row>
    <row r="215" spans="1:11">
      <c r="A215" t="s">
        <v>434</v>
      </c>
      <c r="B215" s="3">
        <v>0</v>
      </c>
      <c r="C215" s="3">
        <v>42.7</v>
      </c>
      <c r="D215" s="3">
        <v>75.40000000000001</v>
      </c>
      <c r="E215" s="3">
        <v>42.7</v>
      </c>
      <c r="F215" s="3">
        <v>0</v>
      </c>
      <c r="G215" t="s">
        <v>820</v>
      </c>
      <c r="H215" t="s">
        <v>820</v>
      </c>
      <c r="I215" t="s">
        <v>820</v>
      </c>
      <c r="J215" t="s">
        <v>820</v>
      </c>
      <c r="K215" t="s">
        <v>820</v>
      </c>
    </row>
    <row r="216" spans="1:11">
      <c r="A216" t="s">
        <v>436</v>
      </c>
      <c r="B216" s="3">
        <v>0</v>
      </c>
      <c r="C216" s="3">
        <v>44.3</v>
      </c>
      <c r="D216" s="3">
        <v>76</v>
      </c>
      <c r="E216" s="3">
        <v>44.3</v>
      </c>
      <c r="F216" s="3">
        <v>0</v>
      </c>
      <c r="G216" t="s">
        <v>820</v>
      </c>
      <c r="H216" t="s">
        <v>822</v>
      </c>
      <c r="I216" t="s">
        <v>820</v>
      </c>
      <c r="J216" t="s">
        <v>822</v>
      </c>
      <c r="K216" t="s">
        <v>820</v>
      </c>
    </row>
    <row r="217" spans="1:11">
      <c r="A217" t="s">
        <v>438</v>
      </c>
      <c r="B217" s="3">
        <v>0</v>
      </c>
      <c r="C217" s="3">
        <v>41.7</v>
      </c>
      <c r="D217" s="3">
        <v>74.2</v>
      </c>
      <c r="E217" s="3">
        <v>41.7</v>
      </c>
      <c r="F217" s="3">
        <v>0</v>
      </c>
      <c r="G217" t="s">
        <v>820</v>
      </c>
      <c r="H217" t="s">
        <v>820</v>
      </c>
      <c r="I217" t="s">
        <v>820</v>
      </c>
      <c r="J217" t="s">
        <v>820</v>
      </c>
      <c r="K217" t="s">
        <v>820</v>
      </c>
    </row>
    <row r="218" spans="1:11">
      <c r="A218" t="s">
        <v>440</v>
      </c>
      <c r="B218" s="3">
        <v>0</v>
      </c>
      <c r="C218" s="3">
        <v>43.2</v>
      </c>
      <c r="D218" s="3">
        <v>75.5</v>
      </c>
      <c r="E218" s="3">
        <v>43.2</v>
      </c>
      <c r="F218" s="3">
        <v>0</v>
      </c>
      <c r="G218" t="s">
        <v>820</v>
      </c>
      <c r="H218" t="s">
        <v>820</v>
      </c>
      <c r="I218" t="s">
        <v>820</v>
      </c>
      <c r="J218" t="s">
        <v>820</v>
      </c>
      <c r="K218" t="s">
        <v>820</v>
      </c>
    </row>
    <row r="219" spans="1:11">
      <c r="A219" t="s">
        <v>442</v>
      </c>
      <c r="B219" s="3">
        <v>0</v>
      </c>
      <c r="C219" s="3">
        <v>42.4</v>
      </c>
      <c r="D219" s="3">
        <v>75.40000000000001</v>
      </c>
      <c r="E219" s="3">
        <v>42.4</v>
      </c>
      <c r="F219" s="3">
        <v>0</v>
      </c>
      <c r="G219" t="s">
        <v>820</v>
      </c>
      <c r="H219" t="s">
        <v>820</v>
      </c>
      <c r="I219" t="s">
        <v>820</v>
      </c>
      <c r="J219" t="s">
        <v>820</v>
      </c>
      <c r="K219" t="s">
        <v>820</v>
      </c>
    </row>
    <row r="220" spans="1:11">
      <c r="A220" t="s">
        <v>444</v>
      </c>
      <c r="B220" s="3">
        <v>0</v>
      </c>
      <c r="C220" s="3">
        <v>42</v>
      </c>
      <c r="D220" s="3">
        <v>74.40000000000001</v>
      </c>
      <c r="E220" s="3">
        <v>42</v>
      </c>
      <c r="F220" s="3">
        <v>0</v>
      </c>
      <c r="G220" t="s">
        <v>820</v>
      </c>
      <c r="H220" t="s">
        <v>820</v>
      </c>
      <c r="I220" t="s">
        <v>820</v>
      </c>
      <c r="J220" t="s">
        <v>820</v>
      </c>
      <c r="K220" t="s">
        <v>820</v>
      </c>
    </row>
    <row r="221" spans="1:11">
      <c r="A221" t="s">
        <v>446</v>
      </c>
      <c r="B221" s="3">
        <v>0</v>
      </c>
      <c r="C221" s="3">
        <v>40.7</v>
      </c>
      <c r="D221" s="3">
        <v>74.2</v>
      </c>
      <c r="E221" s="3">
        <v>40.7</v>
      </c>
      <c r="F221" s="3">
        <v>0</v>
      </c>
      <c r="G221" t="s">
        <v>820</v>
      </c>
      <c r="H221" t="s">
        <v>820</v>
      </c>
      <c r="I221" t="s">
        <v>820</v>
      </c>
      <c r="J221" t="s">
        <v>820</v>
      </c>
      <c r="K221" t="s">
        <v>820</v>
      </c>
    </row>
    <row r="222" spans="1:11">
      <c r="A222" t="s">
        <v>448</v>
      </c>
      <c r="B222" s="3">
        <v>0</v>
      </c>
      <c r="C222" s="3">
        <v>42.7</v>
      </c>
      <c r="D222" s="3">
        <v>75.40000000000001</v>
      </c>
      <c r="E222" s="3">
        <v>42.7</v>
      </c>
      <c r="F222" s="3">
        <v>0</v>
      </c>
      <c r="G222" t="s">
        <v>820</v>
      </c>
      <c r="H222" t="s">
        <v>820</v>
      </c>
      <c r="I222" t="s">
        <v>820</v>
      </c>
      <c r="J222" t="s">
        <v>820</v>
      </c>
      <c r="K222" t="s">
        <v>820</v>
      </c>
    </row>
    <row r="223" spans="1:11">
      <c r="A223" t="s">
        <v>450</v>
      </c>
      <c r="B223" s="3">
        <v>0</v>
      </c>
      <c r="C223" s="3">
        <v>44.5</v>
      </c>
      <c r="D223" s="3">
        <v>75.59999999999999</v>
      </c>
      <c r="E223" s="3">
        <v>44.5</v>
      </c>
      <c r="F223" s="3">
        <v>0</v>
      </c>
      <c r="G223" t="s">
        <v>820</v>
      </c>
      <c r="H223" t="s">
        <v>822</v>
      </c>
      <c r="I223" t="s">
        <v>820</v>
      </c>
      <c r="J223" t="s">
        <v>822</v>
      </c>
      <c r="K223" t="s">
        <v>820</v>
      </c>
    </row>
    <row r="224" spans="1:11">
      <c r="A224" t="s">
        <v>452</v>
      </c>
      <c r="B224" s="3">
        <v>0</v>
      </c>
      <c r="C224" s="3">
        <v>45.6</v>
      </c>
      <c r="D224" s="3">
        <v>76.8</v>
      </c>
      <c r="E224" s="3">
        <v>45.6</v>
      </c>
      <c r="F224" s="3">
        <v>0</v>
      </c>
      <c r="G224" t="s">
        <v>820</v>
      </c>
      <c r="H224" t="s">
        <v>822</v>
      </c>
      <c r="I224" t="s">
        <v>820</v>
      </c>
      <c r="J224" t="s">
        <v>822</v>
      </c>
      <c r="K224" t="s">
        <v>820</v>
      </c>
    </row>
    <row r="225" spans="1:11">
      <c r="A225" t="s">
        <v>454</v>
      </c>
      <c r="B225" s="3">
        <v>0</v>
      </c>
      <c r="C225" s="3">
        <v>45.9</v>
      </c>
      <c r="D225" s="3">
        <v>77.09999999999999</v>
      </c>
      <c r="E225" s="3">
        <v>45.9</v>
      </c>
      <c r="F225" s="3">
        <v>0</v>
      </c>
      <c r="G225" t="s">
        <v>820</v>
      </c>
      <c r="H225" t="s">
        <v>822</v>
      </c>
      <c r="I225" t="s">
        <v>820</v>
      </c>
      <c r="J225" t="s">
        <v>822</v>
      </c>
      <c r="K225" t="s">
        <v>820</v>
      </c>
    </row>
    <row r="226" spans="1:11">
      <c r="A226" t="s">
        <v>456</v>
      </c>
      <c r="B226" s="3">
        <v>0</v>
      </c>
      <c r="C226" s="3">
        <v>45.4</v>
      </c>
      <c r="D226" s="3">
        <v>76.59999999999999</v>
      </c>
      <c r="E226" s="3">
        <v>45.4</v>
      </c>
      <c r="F226" s="3">
        <v>0</v>
      </c>
      <c r="G226" t="s">
        <v>820</v>
      </c>
      <c r="H226" t="s">
        <v>820</v>
      </c>
      <c r="I226" t="s">
        <v>820</v>
      </c>
      <c r="J226" t="s">
        <v>820</v>
      </c>
      <c r="K226" t="s">
        <v>820</v>
      </c>
    </row>
    <row r="227" spans="1:11">
      <c r="A227" t="s">
        <v>458</v>
      </c>
      <c r="B227" s="3">
        <v>0</v>
      </c>
      <c r="C227" s="3">
        <v>45.2</v>
      </c>
      <c r="D227" s="3">
        <v>76.59999999999999</v>
      </c>
      <c r="E227" s="3">
        <v>45.2</v>
      </c>
      <c r="F227" s="3">
        <v>0</v>
      </c>
      <c r="G227" t="s">
        <v>820</v>
      </c>
      <c r="H227" t="s">
        <v>820</v>
      </c>
      <c r="I227" t="s">
        <v>820</v>
      </c>
      <c r="J227" t="s">
        <v>820</v>
      </c>
      <c r="K227" t="s">
        <v>820</v>
      </c>
    </row>
    <row r="228" spans="1:11">
      <c r="A228" t="s">
        <v>460</v>
      </c>
      <c r="B228" s="3">
        <v>0</v>
      </c>
      <c r="C228" s="3">
        <v>43.8</v>
      </c>
      <c r="D228" s="3">
        <v>75.7</v>
      </c>
      <c r="E228" s="3">
        <v>43.8</v>
      </c>
      <c r="F228" s="3">
        <v>0</v>
      </c>
      <c r="G228" t="s">
        <v>820</v>
      </c>
      <c r="H228" t="s">
        <v>820</v>
      </c>
      <c r="I228" t="s">
        <v>820</v>
      </c>
      <c r="J228" t="s">
        <v>820</v>
      </c>
      <c r="K228" t="s">
        <v>820</v>
      </c>
    </row>
    <row r="229" spans="1:11">
      <c r="A229" t="s">
        <v>462</v>
      </c>
      <c r="B229" s="3">
        <v>0</v>
      </c>
      <c r="C229" s="3">
        <v>44.3</v>
      </c>
      <c r="D229" s="3">
        <v>76.2</v>
      </c>
      <c r="E229" s="3">
        <v>44.3</v>
      </c>
      <c r="F229" s="3">
        <v>0</v>
      </c>
      <c r="G229" t="s">
        <v>820</v>
      </c>
      <c r="H229" t="s">
        <v>820</v>
      </c>
      <c r="I229" t="s">
        <v>820</v>
      </c>
      <c r="J229" t="s">
        <v>820</v>
      </c>
      <c r="K229" t="s">
        <v>820</v>
      </c>
    </row>
    <row r="230" spans="1:11">
      <c r="A230" t="s">
        <v>464</v>
      </c>
      <c r="B230" s="3">
        <v>0</v>
      </c>
      <c r="C230" s="3">
        <v>44.5</v>
      </c>
      <c r="D230" s="3">
        <v>75.8</v>
      </c>
      <c r="E230" s="3">
        <v>44.5</v>
      </c>
      <c r="F230" s="3">
        <v>0</v>
      </c>
      <c r="G230" t="s">
        <v>820</v>
      </c>
      <c r="H230" t="s">
        <v>820</v>
      </c>
      <c r="I230" t="s">
        <v>820</v>
      </c>
      <c r="J230" t="s">
        <v>820</v>
      </c>
      <c r="K230" t="s">
        <v>820</v>
      </c>
    </row>
    <row r="231" spans="1:11">
      <c r="A231" t="s">
        <v>466</v>
      </c>
      <c r="B231" s="3">
        <v>0</v>
      </c>
      <c r="C231" s="3">
        <v>45.9</v>
      </c>
      <c r="D231" s="3">
        <v>77</v>
      </c>
      <c r="E231" s="3">
        <v>45.9</v>
      </c>
      <c r="F231" s="3">
        <v>0</v>
      </c>
      <c r="G231" t="s">
        <v>820</v>
      </c>
      <c r="H231" t="s">
        <v>820</v>
      </c>
      <c r="I231" t="s">
        <v>820</v>
      </c>
      <c r="J231" t="s">
        <v>820</v>
      </c>
      <c r="K231" t="s">
        <v>820</v>
      </c>
    </row>
    <row r="232" spans="1:11">
      <c r="A232" t="s">
        <v>468</v>
      </c>
      <c r="B232" s="3">
        <v>0</v>
      </c>
      <c r="C232" s="3">
        <v>44.8</v>
      </c>
      <c r="D232" s="3">
        <v>76.90000000000001</v>
      </c>
      <c r="E232" s="3">
        <v>44.8</v>
      </c>
      <c r="F232" s="3">
        <v>0</v>
      </c>
      <c r="G232" t="s">
        <v>820</v>
      </c>
      <c r="H232" t="s">
        <v>820</v>
      </c>
      <c r="I232" t="s">
        <v>820</v>
      </c>
      <c r="J232" t="s">
        <v>820</v>
      </c>
      <c r="K232" t="s">
        <v>820</v>
      </c>
    </row>
    <row r="233" spans="1:11">
      <c r="A233" t="s">
        <v>470</v>
      </c>
      <c r="B233" s="3">
        <v>0</v>
      </c>
      <c r="C233" s="3">
        <v>46.3</v>
      </c>
      <c r="D233" s="3">
        <v>77.3</v>
      </c>
      <c r="E233" s="3">
        <v>46.3</v>
      </c>
      <c r="F233" s="3">
        <v>0</v>
      </c>
      <c r="G233" t="s">
        <v>820</v>
      </c>
      <c r="H233" t="s">
        <v>820</v>
      </c>
      <c r="I233" t="s">
        <v>820</v>
      </c>
      <c r="J233" t="s">
        <v>820</v>
      </c>
      <c r="K233" t="s">
        <v>820</v>
      </c>
    </row>
    <row r="234" spans="1:11">
      <c r="A234" t="s">
        <v>472</v>
      </c>
      <c r="B234" s="3">
        <v>0</v>
      </c>
      <c r="C234" s="3">
        <v>46.3</v>
      </c>
      <c r="D234" s="3">
        <v>77.3</v>
      </c>
      <c r="E234" s="3">
        <v>46.3</v>
      </c>
      <c r="F234" s="3">
        <v>0</v>
      </c>
      <c r="G234" t="s">
        <v>820</v>
      </c>
      <c r="H234" t="s">
        <v>820</v>
      </c>
      <c r="I234" t="s">
        <v>820</v>
      </c>
      <c r="J234" t="s">
        <v>820</v>
      </c>
      <c r="K234" t="s">
        <v>820</v>
      </c>
    </row>
    <row r="235" spans="1:11">
      <c r="A235" t="s">
        <v>474</v>
      </c>
      <c r="B235" s="3">
        <v>0</v>
      </c>
      <c r="C235" s="3">
        <v>47.8</v>
      </c>
      <c r="D235" s="3">
        <v>78.40000000000001</v>
      </c>
      <c r="E235" s="3">
        <v>47.8</v>
      </c>
      <c r="F235" s="3">
        <v>0</v>
      </c>
      <c r="G235" t="s">
        <v>820</v>
      </c>
      <c r="H235" t="s">
        <v>820</v>
      </c>
      <c r="I235" t="s">
        <v>820</v>
      </c>
      <c r="J235" t="s">
        <v>820</v>
      </c>
      <c r="K235" t="s">
        <v>820</v>
      </c>
    </row>
    <row r="236" spans="1:11">
      <c r="A236" t="s">
        <v>476</v>
      </c>
      <c r="B236" s="3">
        <v>0</v>
      </c>
      <c r="C236" s="3">
        <v>46.3</v>
      </c>
      <c r="D236" s="3">
        <v>78.2</v>
      </c>
      <c r="E236" s="3">
        <v>46.3</v>
      </c>
      <c r="F236" s="3">
        <v>0</v>
      </c>
      <c r="G236" t="s">
        <v>820</v>
      </c>
      <c r="H236" t="s">
        <v>820</v>
      </c>
      <c r="I236" t="s">
        <v>820</v>
      </c>
      <c r="J236" t="s">
        <v>820</v>
      </c>
      <c r="K236" t="s">
        <v>820</v>
      </c>
    </row>
    <row r="237" spans="1:11">
      <c r="A237" t="s">
        <v>478</v>
      </c>
      <c r="B237" s="3">
        <v>0</v>
      </c>
      <c r="C237" s="3">
        <v>48.2</v>
      </c>
      <c r="D237" s="3">
        <v>78.90000000000001</v>
      </c>
      <c r="E237" s="3">
        <v>48.2</v>
      </c>
      <c r="F237" s="3">
        <v>0</v>
      </c>
      <c r="G237" t="s">
        <v>820</v>
      </c>
      <c r="H237" t="s">
        <v>820</v>
      </c>
      <c r="I237" t="s">
        <v>820</v>
      </c>
      <c r="J237" t="s">
        <v>820</v>
      </c>
      <c r="K237" t="s">
        <v>820</v>
      </c>
    </row>
    <row r="238" spans="1:11">
      <c r="A238" t="s">
        <v>480</v>
      </c>
      <c r="B238" s="3">
        <v>0</v>
      </c>
      <c r="C238" s="3">
        <v>47.8</v>
      </c>
      <c r="D238" s="3">
        <v>78.90000000000001</v>
      </c>
      <c r="E238" s="3">
        <v>47.8</v>
      </c>
      <c r="F238" s="3">
        <v>0</v>
      </c>
      <c r="G238" t="s">
        <v>820</v>
      </c>
      <c r="H238" t="s">
        <v>820</v>
      </c>
      <c r="I238" t="s">
        <v>820</v>
      </c>
      <c r="J238" t="s">
        <v>820</v>
      </c>
      <c r="K238" t="s">
        <v>820</v>
      </c>
    </row>
    <row r="239" spans="1:11">
      <c r="A239" t="s">
        <v>482</v>
      </c>
      <c r="B239" s="3">
        <v>0</v>
      </c>
      <c r="C239" s="3">
        <v>49.2</v>
      </c>
      <c r="D239" s="3">
        <v>79.7</v>
      </c>
      <c r="E239" s="3">
        <v>49.2</v>
      </c>
      <c r="F239" s="3">
        <v>0</v>
      </c>
      <c r="G239" t="s">
        <v>820</v>
      </c>
      <c r="H239" t="s">
        <v>820</v>
      </c>
      <c r="I239" t="s">
        <v>820</v>
      </c>
      <c r="J239" t="s">
        <v>820</v>
      </c>
      <c r="K239" t="s">
        <v>820</v>
      </c>
    </row>
    <row r="240" spans="1:11">
      <c r="A240" t="s">
        <v>484</v>
      </c>
      <c r="B240" s="3">
        <v>0</v>
      </c>
      <c r="C240" s="3">
        <v>48.8</v>
      </c>
      <c r="D240" s="3">
        <v>79.40000000000001</v>
      </c>
      <c r="E240" s="3">
        <v>48.8</v>
      </c>
      <c r="F240" s="3">
        <v>0</v>
      </c>
      <c r="G240" t="s">
        <v>820</v>
      </c>
      <c r="H240" t="s">
        <v>820</v>
      </c>
      <c r="I240" t="s">
        <v>820</v>
      </c>
      <c r="J240" t="s">
        <v>820</v>
      </c>
      <c r="K240" t="s">
        <v>820</v>
      </c>
    </row>
    <row r="241" spans="1:11">
      <c r="A241" t="s">
        <v>486</v>
      </c>
      <c r="B241" s="3">
        <v>0</v>
      </c>
      <c r="C241" s="3">
        <v>49.8</v>
      </c>
      <c r="D241" s="3">
        <v>80.2</v>
      </c>
      <c r="E241" s="3">
        <v>49.8</v>
      </c>
      <c r="F241" s="3">
        <v>0</v>
      </c>
      <c r="G241" t="s">
        <v>820</v>
      </c>
      <c r="H241" t="s">
        <v>820</v>
      </c>
      <c r="I241" t="s">
        <v>820</v>
      </c>
      <c r="J241" t="s">
        <v>820</v>
      </c>
      <c r="K241" t="s">
        <v>820</v>
      </c>
    </row>
    <row r="242" spans="1:11">
      <c r="A242" t="s">
        <v>488</v>
      </c>
      <c r="B242" s="3">
        <v>0</v>
      </c>
      <c r="C242" s="3">
        <v>48</v>
      </c>
      <c r="D242" s="3">
        <v>80.2</v>
      </c>
      <c r="E242" s="3">
        <v>48</v>
      </c>
      <c r="F242" s="3">
        <v>0</v>
      </c>
      <c r="G242" t="s">
        <v>820</v>
      </c>
      <c r="H242" t="s">
        <v>820</v>
      </c>
      <c r="I242" t="s">
        <v>820</v>
      </c>
      <c r="J242" t="s">
        <v>820</v>
      </c>
      <c r="K242" t="s">
        <v>820</v>
      </c>
    </row>
    <row r="243" spans="1:11">
      <c r="A243" t="s">
        <v>490</v>
      </c>
      <c r="B243" s="3">
        <v>0</v>
      </c>
      <c r="C243" s="3">
        <v>47.4</v>
      </c>
      <c r="D243" s="3">
        <v>79.3</v>
      </c>
      <c r="E243" s="3">
        <v>47.4</v>
      </c>
      <c r="F243" s="3">
        <v>0</v>
      </c>
      <c r="G243" t="s">
        <v>820</v>
      </c>
      <c r="H243" t="s">
        <v>820</v>
      </c>
      <c r="I243" t="s">
        <v>820</v>
      </c>
      <c r="J243" t="s">
        <v>820</v>
      </c>
      <c r="K243" t="s">
        <v>820</v>
      </c>
    </row>
    <row r="244" spans="1:11">
      <c r="A244" t="s">
        <v>492</v>
      </c>
      <c r="B244" s="3">
        <v>0</v>
      </c>
      <c r="C244" s="3">
        <v>49.6</v>
      </c>
      <c r="D244" s="3">
        <v>80.40000000000001</v>
      </c>
      <c r="E244" s="3">
        <v>49.6</v>
      </c>
      <c r="F244" s="3">
        <v>0</v>
      </c>
      <c r="G244" t="s">
        <v>820</v>
      </c>
      <c r="H244" t="s">
        <v>820</v>
      </c>
      <c r="I244" t="s">
        <v>820</v>
      </c>
      <c r="J244" t="s">
        <v>820</v>
      </c>
      <c r="K244" t="s">
        <v>820</v>
      </c>
    </row>
    <row r="245" spans="1:11">
      <c r="A245" t="s">
        <v>494</v>
      </c>
      <c r="B245" s="3">
        <v>0</v>
      </c>
      <c r="C245" s="3">
        <v>50</v>
      </c>
      <c r="D245" s="3">
        <v>80.90000000000001</v>
      </c>
      <c r="E245" s="3">
        <v>50</v>
      </c>
      <c r="F245" s="3">
        <v>0</v>
      </c>
      <c r="G245" t="s">
        <v>820</v>
      </c>
      <c r="H245" t="s">
        <v>820</v>
      </c>
      <c r="I245" t="s">
        <v>820</v>
      </c>
      <c r="J245" t="s">
        <v>820</v>
      </c>
      <c r="K245" t="s">
        <v>820</v>
      </c>
    </row>
    <row r="246" spans="1:11">
      <c r="A246" t="s">
        <v>496</v>
      </c>
      <c r="B246" s="3">
        <v>0</v>
      </c>
      <c r="C246" s="3">
        <v>50.6</v>
      </c>
      <c r="D246" s="3">
        <v>81.40000000000001</v>
      </c>
      <c r="E246" s="3">
        <v>50.6</v>
      </c>
      <c r="F246" s="3">
        <v>0</v>
      </c>
      <c r="G246" t="s">
        <v>820</v>
      </c>
      <c r="H246" t="s">
        <v>820</v>
      </c>
      <c r="I246" t="s">
        <v>820</v>
      </c>
      <c r="J246" t="s">
        <v>820</v>
      </c>
      <c r="K246" t="s">
        <v>820</v>
      </c>
    </row>
    <row r="247" spans="1:11">
      <c r="A247" t="s">
        <v>498</v>
      </c>
      <c r="B247" s="3">
        <v>0</v>
      </c>
      <c r="C247" s="3">
        <v>50.8</v>
      </c>
      <c r="D247" s="3">
        <v>81.59999999999999</v>
      </c>
      <c r="E247" s="3">
        <v>50.8</v>
      </c>
      <c r="F247" s="3">
        <v>0</v>
      </c>
      <c r="G247" t="s">
        <v>820</v>
      </c>
      <c r="H247" t="s">
        <v>820</v>
      </c>
      <c r="I247" t="s">
        <v>820</v>
      </c>
      <c r="J247" t="s">
        <v>820</v>
      </c>
      <c r="K247" t="s">
        <v>820</v>
      </c>
    </row>
    <row r="248" spans="1:11">
      <c r="A248" t="s">
        <v>500</v>
      </c>
      <c r="B248" s="3">
        <v>0</v>
      </c>
      <c r="C248" s="3">
        <v>51.4</v>
      </c>
      <c r="D248" s="3">
        <v>81.8</v>
      </c>
      <c r="E248" s="3">
        <v>51.4</v>
      </c>
      <c r="F248" s="3">
        <v>0</v>
      </c>
      <c r="G248" t="s">
        <v>820</v>
      </c>
      <c r="H248" t="s">
        <v>820</v>
      </c>
      <c r="I248" t="s">
        <v>820</v>
      </c>
      <c r="J248" t="s">
        <v>820</v>
      </c>
      <c r="K248" t="s">
        <v>820</v>
      </c>
    </row>
    <row r="249" spans="1:11">
      <c r="A249" t="s">
        <v>502</v>
      </c>
      <c r="B249" s="3">
        <v>0</v>
      </c>
      <c r="C249" s="3">
        <v>51.8</v>
      </c>
      <c r="D249" s="3">
        <v>82.2</v>
      </c>
      <c r="E249" s="3">
        <v>51.8</v>
      </c>
      <c r="F249" s="3">
        <v>0</v>
      </c>
      <c r="G249" t="s">
        <v>820</v>
      </c>
      <c r="H249" t="s">
        <v>820</v>
      </c>
      <c r="I249" t="s">
        <v>820</v>
      </c>
      <c r="J249" t="s">
        <v>820</v>
      </c>
      <c r="K249" t="s">
        <v>820</v>
      </c>
    </row>
    <row r="250" spans="1:11">
      <c r="A250" t="s">
        <v>504</v>
      </c>
      <c r="B250" s="3">
        <v>0</v>
      </c>
      <c r="C250" s="3">
        <v>50.8</v>
      </c>
      <c r="D250" s="3">
        <v>81.8</v>
      </c>
      <c r="E250" s="3">
        <v>50.8</v>
      </c>
      <c r="F250" s="3">
        <v>0</v>
      </c>
      <c r="G250" t="s">
        <v>820</v>
      </c>
      <c r="H250" t="s">
        <v>820</v>
      </c>
      <c r="I250" t="s">
        <v>820</v>
      </c>
      <c r="J250" t="s">
        <v>820</v>
      </c>
      <c r="K250" t="s">
        <v>820</v>
      </c>
    </row>
    <row r="251" spans="1:11">
      <c r="A251" t="s">
        <v>506</v>
      </c>
      <c r="B251" s="3">
        <v>0</v>
      </c>
      <c r="C251" s="3">
        <v>51.6</v>
      </c>
      <c r="D251" s="3">
        <v>82</v>
      </c>
      <c r="E251" s="3">
        <v>51.6</v>
      </c>
      <c r="F251" s="3">
        <v>0</v>
      </c>
      <c r="G251" t="s">
        <v>820</v>
      </c>
      <c r="H251" t="s">
        <v>820</v>
      </c>
      <c r="I251" t="s">
        <v>820</v>
      </c>
      <c r="J251" t="s">
        <v>820</v>
      </c>
      <c r="K251" t="s">
        <v>820</v>
      </c>
    </row>
    <row r="252" spans="1:11">
      <c r="A252" t="s">
        <v>508</v>
      </c>
      <c r="B252" s="3">
        <v>0</v>
      </c>
      <c r="C252" s="3">
        <v>52</v>
      </c>
      <c r="D252" s="3">
        <v>82.40000000000001</v>
      </c>
      <c r="E252" s="3">
        <v>52</v>
      </c>
      <c r="F252" s="3">
        <v>0</v>
      </c>
      <c r="G252" t="s">
        <v>820</v>
      </c>
      <c r="H252" t="s">
        <v>820</v>
      </c>
      <c r="I252" t="s">
        <v>820</v>
      </c>
      <c r="J252" t="s">
        <v>820</v>
      </c>
      <c r="K252" t="s">
        <v>820</v>
      </c>
    </row>
    <row r="253" spans="1:11">
      <c r="A253" t="s">
        <v>510</v>
      </c>
      <c r="B253" s="3">
        <v>0</v>
      </c>
      <c r="C253" s="3">
        <v>52</v>
      </c>
      <c r="D253" s="3">
        <v>82.5</v>
      </c>
      <c r="E253" s="3">
        <v>52</v>
      </c>
      <c r="F253" s="3">
        <v>0</v>
      </c>
      <c r="G253" t="s">
        <v>820</v>
      </c>
      <c r="H253" t="s">
        <v>820</v>
      </c>
      <c r="I253" t="s">
        <v>820</v>
      </c>
      <c r="J253" t="s">
        <v>820</v>
      </c>
      <c r="K253" t="s">
        <v>820</v>
      </c>
    </row>
    <row r="254" spans="1:11">
      <c r="A254" t="s">
        <v>512</v>
      </c>
      <c r="B254" s="3">
        <v>0</v>
      </c>
      <c r="C254" s="3">
        <v>51.6</v>
      </c>
      <c r="D254" s="3">
        <v>82.59999999999999</v>
      </c>
      <c r="E254" s="3">
        <v>51.6</v>
      </c>
      <c r="F254" s="3">
        <v>0</v>
      </c>
      <c r="G254" t="s">
        <v>820</v>
      </c>
      <c r="H254" t="s">
        <v>820</v>
      </c>
      <c r="I254" t="s">
        <v>820</v>
      </c>
      <c r="J254" t="s">
        <v>820</v>
      </c>
      <c r="K254" t="s">
        <v>820</v>
      </c>
    </row>
    <row r="255" spans="1:11">
      <c r="A255" t="s">
        <v>514</v>
      </c>
      <c r="B255" s="3">
        <v>0</v>
      </c>
      <c r="C255" s="3">
        <v>50.8</v>
      </c>
      <c r="D255" s="3">
        <v>82.7</v>
      </c>
      <c r="E255" s="3">
        <v>50.8</v>
      </c>
      <c r="F255" s="3">
        <v>0</v>
      </c>
      <c r="G255" t="s">
        <v>820</v>
      </c>
      <c r="H255" t="s">
        <v>820</v>
      </c>
      <c r="I255" t="s">
        <v>820</v>
      </c>
      <c r="J255" t="s">
        <v>820</v>
      </c>
      <c r="K255" t="s">
        <v>820</v>
      </c>
    </row>
    <row r="256" spans="1:11">
      <c r="A256" t="s">
        <v>516</v>
      </c>
      <c r="B256" s="3">
        <v>0</v>
      </c>
      <c r="C256" s="3">
        <v>52.3</v>
      </c>
      <c r="D256" s="3">
        <v>83.09999999999999</v>
      </c>
      <c r="E256" s="3">
        <v>52.3</v>
      </c>
      <c r="F256" s="3">
        <v>0</v>
      </c>
      <c r="G256" t="s">
        <v>820</v>
      </c>
      <c r="H256" t="s">
        <v>820</v>
      </c>
      <c r="I256" t="s">
        <v>820</v>
      </c>
      <c r="J256" t="s">
        <v>820</v>
      </c>
      <c r="K256" t="s">
        <v>820</v>
      </c>
    </row>
    <row r="257" spans="1:11">
      <c r="A257" t="s">
        <v>518</v>
      </c>
      <c r="B257" s="3">
        <v>0</v>
      </c>
      <c r="C257" s="3">
        <v>53.4</v>
      </c>
      <c r="D257" s="3">
        <v>83.7</v>
      </c>
      <c r="E257" s="3">
        <v>53.4</v>
      </c>
      <c r="F257" s="3">
        <v>0</v>
      </c>
      <c r="G257" t="s">
        <v>820</v>
      </c>
      <c r="H257" t="s">
        <v>820</v>
      </c>
      <c r="I257" t="s">
        <v>820</v>
      </c>
      <c r="J257" t="s">
        <v>820</v>
      </c>
      <c r="K257" t="s">
        <v>820</v>
      </c>
    </row>
    <row r="258" spans="1:11">
      <c r="A258" t="s">
        <v>520</v>
      </c>
      <c r="B258" s="3">
        <v>0</v>
      </c>
      <c r="C258" s="3">
        <v>53.8</v>
      </c>
      <c r="D258" s="3">
        <v>84.09999999999999</v>
      </c>
      <c r="E258" s="3">
        <v>53.8</v>
      </c>
      <c r="F258" s="3">
        <v>0</v>
      </c>
      <c r="G258" t="s">
        <v>820</v>
      </c>
      <c r="H258" t="s">
        <v>820</v>
      </c>
      <c r="I258" t="s">
        <v>820</v>
      </c>
      <c r="J258" t="s">
        <v>820</v>
      </c>
      <c r="K258" t="s">
        <v>820</v>
      </c>
    </row>
    <row r="259" spans="1:11">
      <c r="A259" t="s">
        <v>522</v>
      </c>
      <c r="B259" s="3">
        <v>0</v>
      </c>
      <c r="C259" s="3">
        <v>53.8</v>
      </c>
      <c r="D259" s="3">
        <v>84.2</v>
      </c>
      <c r="E259" s="3">
        <v>53.8</v>
      </c>
      <c r="F259" s="3">
        <v>0</v>
      </c>
      <c r="G259" t="s">
        <v>820</v>
      </c>
      <c r="H259" t="s">
        <v>820</v>
      </c>
      <c r="I259" t="s">
        <v>820</v>
      </c>
      <c r="J259" t="s">
        <v>820</v>
      </c>
      <c r="K259" t="s">
        <v>820</v>
      </c>
    </row>
    <row r="260" spans="1:11">
      <c r="A260" t="s">
        <v>524</v>
      </c>
      <c r="B260" s="3">
        <v>0</v>
      </c>
      <c r="C260" s="3">
        <v>53.4</v>
      </c>
      <c r="D260" s="3">
        <v>84.2</v>
      </c>
      <c r="E260" s="3">
        <v>53.4</v>
      </c>
      <c r="F260" s="3">
        <v>0</v>
      </c>
      <c r="G260" t="s">
        <v>820</v>
      </c>
      <c r="H260" t="s">
        <v>820</v>
      </c>
      <c r="I260" t="s">
        <v>820</v>
      </c>
      <c r="J260" t="s">
        <v>820</v>
      </c>
      <c r="K260" t="s">
        <v>820</v>
      </c>
    </row>
    <row r="261" spans="1:11">
      <c r="A261" t="s">
        <v>526</v>
      </c>
      <c r="B261" s="3">
        <v>0</v>
      </c>
      <c r="C261" s="3">
        <v>53.6</v>
      </c>
      <c r="D261" s="3">
        <v>84.3</v>
      </c>
      <c r="E261" s="3">
        <v>53.6</v>
      </c>
      <c r="F261" s="3">
        <v>0</v>
      </c>
      <c r="G261" t="s">
        <v>820</v>
      </c>
      <c r="H261" t="s">
        <v>820</v>
      </c>
      <c r="I261" t="s">
        <v>820</v>
      </c>
      <c r="J261" t="s">
        <v>820</v>
      </c>
      <c r="K261" t="s">
        <v>820</v>
      </c>
    </row>
    <row r="262" spans="1:11">
      <c r="A262" t="s">
        <v>528</v>
      </c>
      <c r="B262" s="3">
        <v>0</v>
      </c>
      <c r="C262" s="3">
        <v>54</v>
      </c>
      <c r="D262" s="3">
        <v>84.59999999999999</v>
      </c>
      <c r="E262" s="3">
        <v>54</v>
      </c>
      <c r="F262" s="3">
        <v>0</v>
      </c>
      <c r="G262" t="s">
        <v>820</v>
      </c>
      <c r="H262" t="s">
        <v>820</v>
      </c>
      <c r="I262" t="s">
        <v>820</v>
      </c>
      <c r="J262" t="s">
        <v>820</v>
      </c>
      <c r="K262" t="s">
        <v>820</v>
      </c>
    </row>
    <row r="263" spans="1:11">
      <c r="A263" t="s">
        <v>530</v>
      </c>
      <c r="B263" s="3">
        <v>0</v>
      </c>
      <c r="C263" s="3">
        <v>54.7</v>
      </c>
      <c r="D263" s="3">
        <v>85</v>
      </c>
      <c r="E263" s="3">
        <v>54.7</v>
      </c>
      <c r="F263" s="3">
        <v>0</v>
      </c>
      <c r="G263" t="s">
        <v>820</v>
      </c>
      <c r="H263" t="s">
        <v>820</v>
      </c>
      <c r="I263" t="s">
        <v>820</v>
      </c>
      <c r="J263" t="s">
        <v>820</v>
      </c>
      <c r="K263" t="s">
        <v>820</v>
      </c>
    </row>
    <row r="264" spans="1:11">
      <c r="A264" t="s">
        <v>532</v>
      </c>
      <c r="B264" s="3">
        <v>0</v>
      </c>
      <c r="C264" s="3">
        <v>54.1</v>
      </c>
      <c r="D264" s="3">
        <v>85</v>
      </c>
      <c r="E264" s="3">
        <v>54.1</v>
      </c>
      <c r="F264" s="3">
        <v>0</v>
      </c>
      <c r="G264" t="s">
        <v>820</v>
      </c>
      <c r="H264" t="s">
        <v>820</v>
      </c>
      <c r="I264" t="s">
        <v>820</v>
      </c>
      <c r="J264" t="s">
        <v>820</v>
      </c>
      <c r="K264" t="s">
        <v>820</v>
      </c>
    </row>
    <row r="265" spans="1:11">
      <c r="A265" t="s">
        <v>534</v>
      </c>
      <c r="B265" s="3">
        <v>0</v>
      </c>
      <c r="C265" s="3">
        <v>54</v>
      </c>
      <c r="D265" s="3">
        <v>85</v>
      </c>
      <c r="E265" s="3">
        <v>54</v>
      </c>
      <c r="F265" s="3">
        <v>0</v>
      </c>
      <c r="G265" t="s">
        <v>820</v>
      </c>
      <c r="H265" t="s">
        <v>820</v>
      </c>
      <c r="I265" t="s">
        <v>820</v>
      </c>
      <c r="J265" t="s">
        <v>820</v>
      </c>
      <c r="K265" t="s">
        <v>820</v>
      </c>
    </row>
    <row r="266" spans="1:11">
      <c r="A266" t="s">
        <v>536</v>
      </c>
      <c r="B266" s="3">
        <v>0</v>
      </c>
      <c r="C266" s="3">
        <v>54.8</v>
      </c>
      <c r="D266" s="3">
        <v>85.5</v>
      </c>
      <c r="E266" s="3">
        <v>54.8</v>
      </c>
      <c r="F266" s="3">
        <v>0</v>
      </c>
      <c r="G266" t="s">
        <v>820</v>
      </c>
      <c r="H266" t="s">
        <v>820</v>
      </c>
      <c r="I266" t="s">
        <v>820</v>
      </c>
      <c r="J266" t="s">
        <v>820</v>
      </c>
      <c r="K266" t="s">
        <v>820</v>
      </c>
    </row>
    <row r="267" spans="1:11">
      <c r="A267" t="s">
        <v>538</v>
      </c>
      <c r="B267" s="3">
        <v>0</v>
      </c>
      <c r="C267" s="3">
        <v>54.5</v>
      </c>
      <c r="D267" s="3">
        <v>85.5</v>
      </c>
      <c r="E267" s="3">
        <v>54.5</v>
      </c>
      <c r="F267" s="3">
        <v>0</v>
      </c>
      <c r="G267" t="s">
        <v>820</v>
      </c>
      <c r="H267" t="s">
        <v>820</v>
      </c>
      <c r="I267" t="s">
        <v>820</v>
      </c>
      <c r="J267" t="s">
        <v>820</v>
      </c>
      <c r="K267" t="s">
        <v>820</v>
      </c>
    </row>
    <row r="268" spans="1:11">
      <c r="A268" t="s">
        <v>540</v>
      </c>
      <c r="B268" s="3">
        <v>0</v>
      </c>
      <c r="C268" s="3">
        <v>55.7</v>
      </c>
      <c r="D268" s="3">
        <v>86</v>
      </c>
      <c r="E268" s="3">
        <v>55.7</v>
      </c>
      <c r="F268" s="3">
        <v>0</v>
      </c>
      <c r="G268" t="s">
        <v>820</v>
      </c>
      <c r="H268" t="s">
        <v>820</v>
      </c>
      <c r="I268" t="s">
        <v>820</v>
      </c>
      <c r="J268" t="s">
        <v>820</v>
      </c>
      <c r="K268" t="s">
        <v>820</v>
      </c>
    </row>
    <row r="269" spans="1:11">
      <c r="A269" t="s">
        <v>542</v>
      </c>
      <c r="B269" s="3">
        <v>0</v>
      </c>
      <c r="C269" s="3">
        <v>56</v>
      </c>
      <c r="D269" s="3">
        <v>86.40000000000001</v>
      </c>
      <c r="E269" s="3">
        <v>56</v>
      </c>
      <c r="F269" s="3">
        <v>0</v>
      </c>
      <c r="G269" t="s">
        <v>820</v>
      </c>
      <c r="H269" t="s">
        <v>820</v>
      </c>
      <c r="I269" t="s">
        <v>820</v>
      </c>
      <c r="J269" t="s">
        <v>820</v>
      </c>
      <c r="K269" t="s">
        <v>820</v>
      </c>
    </row>
    <row r="270" spans="1:11">
      <c r="A270" t="s">
        <v>544</v>
      </c>
      <c r="B270" s="3">
        <v>0</v>
      </c>
      <c r="C270" s="3">
        <v>55.9</v>
      </c>
      <c r="D270" s="3">
        <v>86.40000000000001</v>
      </c>
      <c r="E270" s="3">
        <v>55.9</v>
      </c>
      <c r="F270" s="3">
        <v>0</v>
      </c>
      <c r="G270" t="s">
        <v>820</v>
      </c>
      <c r="H270" t="s">
        <v>820</v>
      </c>
      <c r="I270" t="s">
        <v>820</v>
      </c>
      <c r="J270" t="s">
        <v>820</v>
      </c>
      <c r="K270" t="s">
        <v>820</v>
      </c>
    </row>
    <row r="271" spans="1:11">
      <c r="A271" t="s">
        <v>546</v>
      </c>
      <c r="B271" s="3">
        <v>0</v>
      </c>
      <c r="C271" s="3">
        <v>55.7</v>
      </c>
      <c r="D271" s="3">
        <v>86.5</v>
      </c>
      <c r="E271" s="3">
        <v>55.7</v>
      </c>
      <c r="F271" s="3">
        <v>0</v>
      </c>
      <c r="G271" t="s">
        <v>820</v>
      </c>
      <c r="H271" t="s">
        <v>820</v>
      </c>
      <c r="I271" t="s">
        <v>820</v>
      </c>
      <c r="J271" t="s">
        <v>820</v>
      </c>
      <c r="K271" t="s">
        <v>820</v>
      </c>
    </row>
    <row r="272" spans="1:11">
      <c r="A272" t="s">
        <v>548</v>
      </c>
      <c r="B272" s="3">
        <v>0</v>
      </c>
      <c r="C272" s="3">
        <v>56.5</v>
      </c>
      <c r="D272" s="3">
        <v>86.90000000000001</v>
      </c>
      <c r="E272" s="3">
        <v>56.5</v>
      </c>
      <c r="F272" s="3">
        <v>0</v>
      </c>
      <c r="G272" t="s">
        <v>820</v>
      </c>
      <c r="H272" t="s">
        <v>820</v>
      </c>
      <c r="I272" t="s">
        <v>820</v>
      </c>
      <c r="J272" t="s">
        <v>820</v>
      </c>
      <c r="K272" t="s">
        <v>820</v>
      </c>
    </row>
    <row r="273" spans="1:11">
      <c r="A273" t="s">
        <v>550</v>
      </c>
      <c r="B273" s="3">
        <v>0</v>
      </c>
      <c r="C273" s="3">
        <v>56.2</v>
      </c>
      <c r="D273" s="3">
        <v>87</v>
      </c>
      <c r="E273" s="3">
        <v>56.2</v>
      </c>
      <c r="F273" s="3">
        <v>0</v>
      </c>
      <c r="G273" t="s">
        <v>820</v>
      </c>
      <c r="H273" t="s">
        <v>820</v>
      </c>
      <c r="I273" t="s">
        <v>820</v>
      </c>
      <c r="J273" t="s">
        <v>820</v>
      </c>
      <c r="K273" t="s">
        <v>820</v>
      </c>
    </row>
    <row r="274" spans="1:11">
      <c r="A274" t="s">
        <v>552</v>
      </c>
      <c r="B274" s="3">
        <v>0</v>
      </c>
      <c r="C274" s="3">
        <v>57.2</v>
      </c>
      <c r="D274" s="3">
        <v>87.3</v>
      </c>
      <c r="E274" s="3">
        <v>57.2</v>
      </c>
      <c r="F274" s="3">
        <v>0</v>
      </c>
      <c r="G274" t="s">
        <v>820</v>
      </c>
      <c r="H274" t="s">
        <v>820</v>
      </c>
      <c r="I274" t="s">
        <v>820</v>
      </c>
      <c r="J274" t="s">
        <v>820</v>
      </c>
      <c r="K274" t="s">
        <v>820</v>
      </c>
    </row>
    <row r="275" spans="1:11">
      <c r="A275" t="s">
        <v>554</v>
      </c>
      <c r="B275" s="3">
        <v>0</v>
      </c>
      <c r="C275" s="3">
        <v>57.5</v>
      </c>
      <c r="D275" s="3">
        <v>87.59999999999999</v>
      </c>
      <c r="E275" s="3">
        <v>57.5</v>
      </c>
      <c r="F275" s="3">
        <v>0</v>
      </c>
      <c r="G275" t="s">
        <v>820</v>
      </c>
      <c r="H275" t="s">
        <v>820</v>
      </c>
      <c r="I275" t="s">
        <v>820</v>
      </c>
      <c r="J275" t="s">
        <v>820</v>
      </c>
      <c r="K275" t="s">
        <v>820</v>
      </c>
    </row>
    <row r="276" spans="1:11">
      <c r="A276" t="s">
        <v>556</v>
      </c>
      <c r="B276" s="3">
        <v>0</v>
      </c>
      <c r="C276" s="3">
        <v>57.5</v>
      </c>
      <c r="D276" s="3">
        <v>87.7</v>
      </c>
      <c r="E276" s="3">
        <v>57.5</v>
      </c>
      <c r="F276" s="3">
        <v>0</v>
      </c>
      <c r="G276" t="s">
        <v>820</v>
      </c>
      <c r="H276" t="s">
        <v>820</v>
      </c>
      <c r="I276" t="s">
        <v>820</v>
      </c>
      <c r="J276" t="s">
        <v>820</v>
      </c>
      <c r="K276" t="s">
        <v>820</v>
      </c>
    </row>
    <row r="277" spans="1:11">
      <c r="A277" t="s">
        <v>558</v>
      </c>
      <c r="B277" s="3">
        <v>0</v>
      </c>
      <c r="C277" s="3">
        <v>57.5</v>
      </c>
      <c r="D277" s="3">
        <v>87.90000000000001</v>
      </c>
      <c r="E277" s="3">
        <v>57.5</v>
      </c>
      <c r="F277" s="3">
        <v>0</v>
      </c>
      <c r="G277" t="s">
        <v>820</v>
      </c>
      <c r="H277" t="s">
        <v>820</v>
      </c>
      <c r="I277" t="s">
        <v>820</v>
      </c>
      <c r="J277" t="s">
        <v>820</v>
      </c>
      <c r="K277" t="s">
        <v>820</v>
      </c>
    </row>
    <row r="278" spans="1:11">
      <c r="A278" t="s">
        <v>560</v>
      </c>
      <c r="B278" s="3">
        <v>0</v>
      </c>
      <c r="C278" s="3">
        <v>57.8</v>
      </c>
      <c r="D278" s="3">
        <v>88</v>
      </c>
      <c r="E278" s="3">
        <v>57.8</v>
      </c>
      <c r="F278" s="3">
        <v>0</v>
      </c>
      <c r="G278" t="s">
        <v>820</v>
      </c>
      <c r="H278" t="s">
        <v>820</v>
      </c>
      <c r="I278" t="s">
        <v>820</v>
      </c>
      <c r="J278" t="s">
        <v>820</v>
      </c>
      <c r="K278" t="s">
        <v>820</v>
      </c>
    </row>
    <row r="279" spans="1:11">
      <c r="A279" t="s">
        <v>562</v>
      </c>
      <c r="B279" s="3">
        <v>0</v>
      </c>
      <c r="C279" s="3">
        <v>58.3</v>
      </c>
      <c r="D279" s="3">
        <v>88.3</v>
      </c>
      <c r="E279" s="3">
        <v>58.3</v>
      </c>
      <c r="F279" s="3">
        <v>0</v>
      </c>
      <c r="G279" t="s">
        <v>820</v>
      </c>
      <c r="H279" t="s">
        <v>820</v>
      </c>
      <c r="I279" t="s">
        <v>820</v>
      </c>
      <c r="J279" t="s">
        <v>820</v>
      </c>
      <c r="K279" t="s">
        <v>820</v>
      </c>
    </row>
    <row r="280" spans="1:11">
      <c r="A280" t="s">
        <v>564</v>
      </c>
      <c r="B280" s="3">
        <v>0</v>
      </c>
      <c r="C280" s="3">
        <v>58.3</v>
      </c>
      <c r="D280" s="3">
        <v>88.5</v>
      </c>
      <c r="E280" s="3">
        <v>58.3</v>
      </c>
      <c r="F280" s="3">
        <v>0</v>
      </c>
      <c r="G280" t="s">
        <v>820</v>
      </c>
      <c r="H280" t="s">
        <v>820</v>
      </c>
      <c r="I280" t="s">
        <v>820</v>
      </c>
      <c r="J280" t="s">
        <v>820</v>
      </c>
      <c r="K280" t="s">
        <v>820</v>
      </c>
    </row>
    <row r="281" spans="1:11">
      <c r="A281" t="s">
        <v>566</v>
      </c>
      <c r="B281" s="3">
        <v>0</v>
      </c>
      <c r="C281" s="3">
        <v>58.5</v>
      </c>
      <c r="D281" s="3">
        <v>88.59999999999999</v>
      </c>
      <c r="E281" s="3">
        <v>58.5</v>
      </c>
      <c r="F281" s="3">
        <v>0</v>
      </c>
      <c r="G281" t="s">
        <v>820</v>
      </c>
      <c r="H281" t="s">
        <v>820</v>
      </c>
      <c r="I281" t="s">
        <v>820</v>
      </c>
      <c r="J281" t="s">
        <v>820</v>
      </c>
      <c r="K281" t="s">
        <v>820</v>
      </c>
    </row>
    <row r="282" spans="1:11">
      <c r="A282" t="s">
        <v>568</v>
      </c>
      <c r="B282" s="3">
        <v>0</v>
      </c>
      <c r="C282" s="3">
        <v>58.9</v>
      </c>
      <c r="D282" s="3">
        <v>88.90000000000001</v>
      </c>
      <c r="E282" s="3">
        <v>58.9</v>
      </c>
      <c r="F282" s="3">
        <v>0</v>
      </c>
      <c r="G282" t="s">
        <v>820</v>
      </c>
      <c r="H282" t="s">
        <v>820</v>
      </c>
      <c r="I282" t="s">
        <v>820</v>
      </c>
      <c r="J282" t="s">
        <v>820</v>
      </c>
      <c r="K282" t="s">
        <v>820</v>
      </c>
    </row>
    <row r="283" spans="1:11">
      <c r="A283" t="s">
        <v>570</v>
      </c>
      <c r="B283" s="3">
        <v>0</v>
      </c>
      <c r="C283" s="3">
        <v>59.2</v>
      </c>
      <c r="D283" s="3">
        <v>89.09999999999999</v>
      </c>
      <c r="E283" s="3">
        <v>59.2</v>
      </c>
      <c r="F283" s="3">
        <v>0</v>
      </c>
      <c r="G283" t="s">
        <v>820</v>
      </c>
      <c r="H283" t="s">
        <v>820</v>
      </c>
      <c r="I283" t="s">
        <v>820</v>
      </c>
      <c r="J283" t="s">
        <v>820</v>
      </c>
      <c r="K283" t="s">
        <v>820</v>
      </c>
    </row>
    <row r="284" spans="1:11">
      <c r="A284" t="s">
        <v>572</v>
      </c>
      <c r="B284" s="3">
        <v>0</v>
      </c>
      <c r="C284" s="3">
        <v>59.2</v>
      </c>
      <c r="D284" s="3">
        <v>89.3</v>
      </c>
      <c r="E284" s="3">
        <v>59.2</v>
      </c>
      <c r="F284" s="3">
        <v>0</v>
      </c>
      <c r="G284" t="s">
        <v>820</v>
      </c>
      <c r="H284" t="s">
        <v>820</v>
      </c>
      <c r="I284" t="s">
        <v>820</v>
      </c>
      <c r="J284" t="s">
        <v>820</v>
      </c>
      <c r="K284" t="s">
        <v>820</v>
      </c>
    </row>
    <row r="285" spans="1:11">
      <c r="A285" t="s">
        <v>574</v>
      </c>
      <c r="B285" s="3">
        <v>0</v>
      </c>
      <c r="C285" s="3">
        <v>59.7</v>
      </c>
      <c r="D285" s="3">
        <v>89.5</v>
      </c>
      <c r="E285" s="3">
        <v>59.7</v>
      </c>
      <c r="F285" s="3">
        <v>0</v>
      </c>
      <c r="G285" t="s">
        <v>820</v>
      </c>
      <c r="H285" t="s">
        <v>820</v>
      </c>
      <c r="I285" t="s">
        <v>820</v>
      </c>
      <c r="J285" t="s">
        <v>820</v>
      </c>
      <c r="K285" t="s">
        <v>820</v>
      </c>
    </row>
    <row r="286" spans="1:11">
      <c r="A286" t="s">
        <v>576</v>
      </c>
      <c r="B286" s="3">
        <v>0</v>
      </c>
      <c r="C286" s="3">
        <v>59.7</v>
      </c>
      <c r="D286" s="3">
        <v>89.59999999999999</v>
      </c>
      <c r="E286" s="3">
        <v>59.7</v>
      </c>
      <c r="F286" s="3">
        <v>0</v>
      </c>
      <c r="G286" t="s">
        <v>820</v>
      </c>
      <c r="H286" t="s">
        <v>820</v>
      </c>
      <c r="I286" t="s">
        <v>820</v>
      </c>
      <c r="J286" t="s">
        <v>820</v>
      </c>
      <c r="K286" t="s">
        <v>820</v>
      </c>
    </row>
    <row r="287" spans="1:11">
      <c r="A287" t="s">
        <v>578</v>
      </c>
      <c r="B287" s="3">
        <v>0</v>
      </c>
      <c r="C287" s="3">
        <v>60</v>
      </c>
      <c r="D287" s="3">
        <v>89.8</v>
      </c>
      <c r="E287" s="3">
        <v>60</v>
      </c>
      <c r="F287" s="3">
        <v>0</v>
      </c>
      <c r="G287" t="s">
        <v>820</v>
      </c>
      <c r="H287" t="s">
        <v>820</v>
      </c>
      <c r="I287" t="s">
        <v>820</v>
      </c>
      <c r="J287" t="s">
        <v>820</v>
      </c>
      <c r="K287" t="s">
        <v>820</v>
      </c>
    </row>
    <row r="288" spans="1:11">
      <c r="A288" t="s">
        <v>580</v>
      </c>
      <c r="B288" s="3">
        <v>0</v>
      </c>
      <c r="C288" s="3">
        <v>60.2</v>
      </c>
      <c r="D288" s="3">
        <v>90</v>
      </c>
      <c r="E288" s="3">
        <v>60.2</v>
      </c>
      <c r="F288" s="3">
        <v>0</v>
      </c>
      <c r="G288" t="s">
        <v>820</v>
      </c>
      <c r="H288" t="s">
        <v>820</v>
      </c>
      <c r="I288" t="s">
        <v>820</v>
      </c>
      <c r="J288" t="s">
        <v>820</v>
      </c>
      <c r="K288" t="s">
        <v>820</v>
      </c>
    </row>
    <row r="289" spans="1:11">
      <c r="A289" t="s">
        <v>582</v>
      </c>
      <c r="B289" s="3">
        <v>0</v>
      </c>
      <c r="C289" s="3">
        <v>60.3</v>
      </c>
      <c r="D289" s="3">
        <v>90.2</v>
      </c>
      <c r="E289" s="3">
        <v>60.3</v>
      </c>
      <c r="F289" s="3">
        <v>0</v>
      </c>
      <c r="G289" t="s">
        <v>820</v>
      </c>
      <c r="H289" t="s">
        <v>820</v>
      </c>
      <c r="I289" t="s">
        <v>820</v>
      </c>
      <c r="J289" t="s">
        <v>820</v>
      </c>
      <c r="K289" t="s">
        <v>820</v>
      </c>
    </row>
    <row r="290" spans="1:11">
      <c r="A290" t="s">
        <v>584</v>
      </c>
      <c r="B290" s="3">
        <v>0</v>
      </c>
      <c r="C290" s="3">
        <v>60.6</v>
      </c>
      <c r="D290" s="3">
        <v>90.3</v>
      </c>
      <c r="E290" s="3">
        <v>60.6</v>
      </c>
      <c r="F290" s="3">
        <v>0</v>
      </c>
      <c r="G290" t="s">
        <v>820</v>
      </c>
      <c r="H290" t="s">
        <v>820</v>
      </c>
      <c r="I290" t="s">
        <v>820</v>
      </c>
      <c r="J290" t="s">
        <v>820</v>
      </c>
      <c r="K290" t="s">
        <v>820</v>
      </c>
    </row>
    <row r="291" spans="1:11">
      <c r="A291" t="s">
        <v>586</v>
      </c>
      <c r="B291" s="3">
        <v>0</v>
      </c>
      <c r="C291" s="3">
        <v>60.6</v>
      </c>
      <c r="D291" s="3">
        <v>90.40000000000001</v>
      </c>
      <c r="E291" s="3">
        <v>60.6</v>
      </c>
      <c r="F291" s="3">
        <v>0</v>
      </c>
      <c r="G291" t="s">
        <v>820</v>
      </c>
      <c r="H291" t="s">
        <v>820</v>
      </c>
      <c r="I291" t="s">
        <v>820</v>
      </c>
      <c r="J291" t="s">
        <v>820</v>
      </c>
      <c r="K291" t="s">
        <v>820</v>
      </c>
    </row>
    <row r="292" spans="1:11">
      <c r="A292" t="s">
        <v>588</v>
      </c>
      <c r="B292" s="3">
        <v>0</v>
      </c>
      <c r="C292" s="3">
        <v>60.6</v>
      </c>
      <c r="D292" s="3">
        <v>90.59999999999999</v>
      </c>
      <c r="E292" s="3">
        <v>60.6</v>
      </c>
      <c r="F292" s="3">
        <v>0</v>
      </c>
      <c r="G292" t="s">
        <v>820</v>
      </c>
      <c r="H292" t="s">
        <v>820</v>
      </c>
      <c r="I292" t="s">
        <v>820</v>
      </c>
      <c r="J292" t="s">
        <v>820</v>
      </c>
      <c r="K292" t="s">
        <v>820</v>
      </c>
    </row>
    <row r="293" spans="1:11">
      <c r="A293" t="s">
        <v>590</v>
      </c>
      <c r="B293" s="3">
        <v>0</v>
      </c>
      <c r="C293" s="3">
        <v>60.9</v>
      </c>
      <c r="D293" s="3">
        <v>90.8</v>
      </c>
      <c r="E293" s="3">
        <v>60.9</v>
      </c>
      <c r="F293" s="3">
        <v>0</v>
      </c>
      <c r="G293" t="s">
        <v>820</v>
      </c>
      <c r="H293" t="s">
        <v>820</v>
      </c>
      <c r="I293" t="s">
        <v>820</v>
      </c>
      <c r="J293" t="s">
        <v>820</v>
      </c>
      <c r="K293" t="s">
        <v>820</v>
      </c>
    </row>
    <row r="294" spans="1:11">
      <c r="A294" t="s">
        <v>592</v>
      </c>
      <c r="B294" s="3">
        <v>0</v>
      </c>
      <c r="C294" s="3">
        <v>61.2</v>
      </c>
      <c r="D294" s="3">
        <v>90.90000000000001</v>
      </c>
      <c r="E294" s="3">
        <v>61.2</v>
      </c>
      <c r="F294" s="3">
        <v>0</v>
      </c>
      <c r="G294" t="s">
        <v>820</v>
      </c>
      <c r="H294" t="s">
        <v>820</v>
      </c>
      <c r="I294" t="s">
        <v>820</v>
      </c>
      <c r="J294" t="s">
        <v>820</v>
      </c>
      <c r="K294" t="s">
        <v>820</v>
      </c>
    </row>
    <row r="295" spans="1:11">
      <c r="A295" t="s">
        <v>594</v>
      </c>
      <c r="B295" s="3">
        <v>0</v>
      </c>
      <c r="C295" s="3">
        <v>61.5</v>
      </c>
      <c r="D295" s="3">
        <v>91.09999999999999</v>
      </c>
      <c r="E295" s="3">
        <v>61.5</v>
      </c>
      <c r="F295" s="3">
        <v>0</v>
      </c>
      <c r="G295" t="s">
        <v>820</v>
      </c>
      <c r="H295" t="s">
        <v>820</v>
      </c>
      <c r="I295" t="s">
        <v>820</v>
      </c>
      <c r="J295" t="s">
        <v>820</v>
      </c>
      <c r="K295" t="s">
        <v>820</v>
      </c>
    </row>
    <row r="296" spans="1:11">
      <c r="A296" t="s">
        <v>596</v>
      </c>
      <c r="B296" s="3">
        <v>0</v>
      </c>
      <c r="C296" s="3">
        <v>61.6</v>
      </c>
      <c r="D296" s="3">
        <v>91.2</v>
      </c>
      <c r="E296" s="3">
        <v>61.6</v>
      </c>
      <c r="F296" s="3">
        <v>0</v>
      </c>
      <c r="G296" t="s">
        <v>820</v>
      </c>
      <c r="H296" t="s">
        <v>820</v>
      </c>
      <c r="I296" t="s">
        <v>820</v>
      </c>
      <c r="J296" t="s">
        <v>820</v>
      </c>
      <c r="K296" t="s">
        <v>820</v>
      </c>
    </row>
    <row r="297" spans="1:11">
      <c r="A297" t="s">
        <v>598</v>
      </c>
      <c r="B297" s="3">
        <v>0</v>
      </c>
      <c r="C297" s="3">
        <v>61.8</v>
      </c>
      <c r="D297" s="3">
        <v>91.40000000000001</v>
      </c>
      <c r="E297" s="3">
        <v>61.8</v>
      </c>
      <c r="F297" s="3">
        <v>0</v>
      </c>
      <c r="G297" t="s">
        <v>820</v>
      </c>
      <c r="H297" t="s">
        <v>820</v>
      </c>
      <c r="I297" t="s">
        <v>820</v>
      </c>
      <c r="J297" t="s">
        <v>820</v>
      </c>
      <c r="K297" t="s">
        <v>820</v>
      </c>
    </row>
    <row r="298" spans="1:11">
      <c r="A298" t="s">
        <v>600</v>
      </c>
      <c r="B298" s="3">
        <v>0</v>
      </c>
      <c r="C298" s="3">
        <v>62</v>
      </c>
      <c r="D298" s="3">
        <v>91.59999999999999</v>
      </c>
      <c r="E298" s="3">
        <v>62</v>
      </c>
      <c r="F298" s="3">
        <v>0</v>
      </c>
      <c r="G298" t="s">
        <v>820</v>
      </c>
      <c r="H298" t="s">
        <v>820</v>
      </c>
      <c r="I298" t="s">
        <v>820</v>
      </c>
      <c r="J298" t="s">
        <v>820</v>
      </c>
      <c r="K298" t="s">
        <v>820</v>
      </c>
    </row>
    <row r="299" spans="1:11">
      <c r="A299" t="s">
        <v>602</v>
      </c>
      <c r="B299" s="3">
        <v>0</v>
      </c>
      <c r="C299" s="3">
        <v>62.2</v>
      </c>
      <c r="D299" s="3">
        <v>91.7</v>
      </c>
      <c r="E299" s="3">
        <v>62.2</v>
      </c>
      <c r="F299" s="3">
        <v>0</v>
      </c>
      <c r="G299" t="s">
        <v>820</v>
      </c>
      <c r="H299" t="s">
        <v>820</v>
      </c>
      <c r="I299" t="s">
        <v>820</v>
      </c>
      <c r="J299" t="s">
        <v>820</v>
      </c>
      <c r="K299" t="s">
        <v>820</v>
      </c>
    </row>
    <row r="300" spans="1:11">
      <c r="A300" t="s">
        <v>604</v>
      </c>
      <c r="B300" s="3">
        <v>0</v>
      </c>
      <c r="C300" s="3">
        <v>62.3</v>
      </c>
      <c r="D300" s="3">
        <v>91.8</v>
      </c>
      <c r="E300" s="3">
        <v>62.3</v>
      </c>
      <c r="F300" s="3">
        <v>0</v>
      </c>
      <c r="G300" t="s">
        <v>820</v>
      </c>
      <c r="H300" t="s">
        <v>820</v>
      </c>
      <c r="I300" t="s">
        <v>820</v>
      </c>
      <c r="J300" t="s">
        <v>820</v>
      </c>
      <c r="K300" t="s">
        <v>820</v>
      </c>
    </row>
    <row r="301" spans="1:11">
      <c r="A301" t="s">
        <v>606</v>
      </c>
      <c r="B301" s="3">
        <v>0</v>
      </c>
      <c r="C301" s="3">
        <v>62.5</v>
      </c>
      <c r="D301" s="3">
        <v>91.90000000000001</v>
      </c>
      <c r="E301" s="3">
        <v>62.5</v>
      </c>
      <c r="F301" s="3">
        <v>0</v>
      </c>
      <c r="G301" t="s">
        <v>820</v>
      </c>
      <c r="H301" t="s">
        <v>820</v>
      </c>
      <c r="I301" t="s">
        <v>820</v>
      </c>
      <c r="J301" t="s">
        <v>820</v>
      </c>
      <c r="K301" t="s">
        <v>820</v>
      </c>
    </row>
    <row r="302" spans="1:11">
      <c r="A302" t="s">
        <v>608</v>
      </c>
      <c r="B302" s="3">
        <v>0</v>
      </c>
      <c r="C302" s="3">
        <v>62.6</v>
      </c>
      <c r="D302" s="3">
        <v>92.09999999999999</v>
      </c>
      <c r="E302" s="3">
        <v>62.6</v>
      </c>
      <c r="F302" s="3">
        <v>0</v>
      </c>
      <c r="G302" t="s">
        <v>820</v>
      </c>
      <c r="H302" t="s">
        <v>820</v>
      </c>
      <c r="I302" t="s">
        <v>820</v>
      </c>
      <c r="J302" t="s">
        <v>820</v>
      </c>
      <c r="K302" t="s">
        <v>820</v>
      </c>
    </row>
    <row r="303" spans="1:11">
      <c r="A303" t="s">
        <v>610</v>
      </c>
      <c r="B303" s="3">
        <v>0</v>
      </c>
      <c r="C303" s="3">
        <v>62.7</v>
      </c>
      <c r="D303" s="3">
        <v>92.2</v>
      </c>
      <c r="E303" s="3">
        <v>62.7</v>
      </c>
      <c r="F303" s="3">
        <v>0</v>
      </c>
      <c r="G303" t="s">
        <v>820</v>
      </c>
      <c r="H303" t="s">
        <v>820</v>
      </c>
      <c r="I303" t="s">
        <v>820</v>
      </c>
      <c r="J303" t="s">
        <v>820</v>
      </c>
      <c r="K303" t="s">
        <v>820</v>
      </c>
    </row>
    <row r="304" spans="1:11">
      <c r="A304" t="s">
        <v>612</v>
      </c>
      <c r="B304" s="3">
        <v>0</v>
      </c>
      <c r="C304" s="3">
        <v>62.9</v>
      </c>
      <c r="D304" s="3">
        <v>92.3</v>
      </c>
      <c r="E304" s="3">
        <v>62.9</v>
      </c>
      <c r="F304" s="3">
        <v>0</v>
      </c>
      <c r="G304" t="s">
        <v>820</v>
      </c>
      <c r="H304" t="s">
        <v>820</v>
      </c>
      <c r="I304" t="s">
        <v>820</v>
      </c>
      <c r="J304" t="s">
        <v>820</v>
      </c>
      <c r="K304" t="s">
        <v>820</v>
      </c>
    </row>
    <row r="305" spans="1:11">
      <c r="A305" t="s">
        <v>614</v>
      </c>
      <c r="B305" s="3">
        <v>0</v>
      </c>
      <c r="C305" s="3">
        <v>63.2</v>
      </c>
      <c r="D305" s="3">
        <v>92.5</v>
      </c>
      <c r="E305" s="3">
        <v>63.2</v>
      </c>
      <c r="F305" s="3">
        <v>0</v>
      </c>
      <c r="G305" t="s">
        <v>820</v>
      </c>
      <c r="H305" t="s">
        <v>820</v>
      </c>
      <c r="I305" t="s">
        <v>820</v>
      </c>
      <c r="J305" t="s">
        <v>820</v>
      </c>
      <c r="K305" t="s">
        <v>820</v>
      </c>
    </row>
    <row r="306" spans="1:11">
      <c r="A306" t="s">
        <v>616</v>
      </c>
      <c r="B306" s="3">
        <v>0</v>
      </c>
      <c r="C306" s="3">
        <v>63.3</v>
      </c>
      <c r="D306" s="3">
        <v>92.59999999999999</v>
      </c>
      <c r="E306" s="3">
        <v>63.3</v>
      </c>
      <c r="F306" s="3">
        <v>0</v>
      </c>
      <c r="G306" t="s">
        <v>820</v>
      </c>
      <c r="H306" t="s">
        <v>820</v>
      </c>
      <c r="I306" t="s">
        <v>820</v>
      </c>
      <c r="J306" t="s">
        <v>820</v>
      </c>
      <c r="K306" t="s">
        <v>820</v>
      </c>
    </row>
    <row r="307" spans="1:11">
      <c r="A307" t="s">
        <v>618</v>
      </c>
      <c r="B307" s="3">
        <v>0</v>
      </c>
      <c r="C307" s="3">
        <v>63.6</v>
      </c>
      <c r="D307" s="3">
        <v>92.7</v>
      </c>
      <c r="E307" s="3">
        <v>63.6</v>
      </c>
      <c r="F307" s="3">
        <v>0</v>
      </c>
      <c r="G307" t="s">
        <v>820</v>
      </c>
      <c r="H307" t="s">
        <v>820</v>
      </c>
      <c r="I307" t="s">
        <v>820</v>
      </c>
      <c r="J307" t="s">
        <v>820</v>
      </c>
      <c r="K307" t="s">
        <v>820</v>
      </c>
    </row>
    <row r="308" spans="1:11">
      <c r="A308" t="s">
        <v>620</v>
      </c>
      <c r="B308" s="3">
        <v>0</v>
      </c>
      <c r="C308" s="3">
        <v>63.6</v>
      </c>
      <c r="D308" s="3">
        <v>92.90000000000001</v>
      </c>
      <c r="E308" s="3">
        <v>63.6</v>
      </c>
      <c r="F308" s="3">
        <v>0</v>
      </c>
      <c r="G308" t="s">
        <v>820</v>
      </c>
      <c r="H308" t="s">
        <v>820</v>
      </c>
      <c r="I308" t="s">
        <v>820</v>
      </c>
      <c r="J308" t="s">
        <v>820</v>
      </c>
      <c r="K308" t="s">
        <v>820</v>
      </c>
    </row>
    <row r="309" spans="1:11">
      <c r="A309" t="s">
        <v>622</v>
      </c>
      <c r="B309" s="3">
        <v>0</v>
      </c>
      <c r="C309" s="3">
        <v>63.8</v>
      </c>
      <c r="D309" s="3">
        <v>93</v>
      </c>
      <c r="E309" s="3">
        <v>63.8</v>
      </c>
      <c r="F309" s="3">
        <v>0</v>
      </c>
      <c r="G309" t="s">
        <v>820</v>
      </c>
      <c r="H309" t="s">
        <v>820</v>
      </c>
      <c r="I309" t="s">
        <v>820</v>
      </c>
      <c r="J309" t="s">
        <v>820</v>
      </c>
      <c r="K309" t="s">
        <v>820</v>
      </c>
    </row>
    <row r="310" spans="1:11">
      <c r="A310" t="s">
        <v>624</v>
      </c>
      <c r="B310" s="3">
        <v>0</v>
      </c>
      <c r="C310" s="3">
        <v>64</v>
      </c>
      <c r="D310" s="3">
        <v>93.09999999999999</v>
      </c>
      <c r="E310" s="3">
        <v>64</v>
      </c>
      <c r="F310" s="3">
        <v>0</v>
      </c>
      <c r="G310" t="s">
        <v>820</v>
      </c>
      <c r="H310" t="s">
        <v>820</v>
      </c>
      <c r="I310" t="s">
        <v>820</v>
      </c>
      <c r="J310" t="s">
        <v>820</v>
      </c>
      <c r="K310" t="s">
        <v>820</v>
      </c>
    </row>
    <row r="311" spans="1:11">
      <c r="A311" t="s">
        <v>626</v>
      </c>
      <c r="B311" s="3">
        <v>0</v>
      </c>
      <c r="C311" s="3">
        <v>64.09999999999999</v>
      </c>
      <c r="D311" s="3">
        <v>93.2</v>
      </c>
      <c r="E311" s="3">
        <v>64.09999999999999</v>
      </c>
      <c r="F311" s="3">
        <v>0</v>
      </c>
      <c r="G311" t="s">
        <v>820</v>
      </c>
      <c r="H311" t="s">
        <v>820</v>
      </c>
      <c r="I311" t="s">
        <v>820</v>
      </c>
      <c r="J311" t="s">
        <v>820</v>
      </c>
      <c r="K311" t="s">
        <v>820</v>
      </c>
    </row>
    <row r="312" spans="1:11">
      <c r="A312" t="s">
        <v>628</v>
      </c>
      <c r="B312" s="3">
        <v>0</v>
      </c>
      <c r="C312" s="3">
        <v>64.2</v>
      </c>
      <c r="D312" s="3">
        <v>93.3</v>
      </c>
      <c r="E312" s="3">
        <v>64.2</v>
      </c>
      <c r="F312" s="3">
        <v>0</v>
      </c>
      <c r="G312" t="s">
        <v>820</v>
      </c>
      <c r="H312" t="s">
        <v>820</v>
      </c>
      <c r="I312" t="s">
        <v>820</v>
      </c>
      <c r="J312" t="s">
        <v>820</v>
      </c>
      <c r="K312" t="s">
        <v>820</v>
      </c>
    </row>
    <row r="313" spans="1:11">
      <c r="A313" t="s">
        <v>630</v>
      </c>
      <c r="B313" s="3">
        <v>0</v>
      </c>
      <c r="C313" s="3">
        <v>64.09999999999999</v>
      </c>
      <c r="D313" s="3">
        <v>93.40000000000001</v>
      </c>
      <c r="E313" s="3">
        <v>64.09999999999999</v>
      </c>
      <c r="F313" s="3">
        <v>0</v>
      </c>
      <c r="G313" t="s">
        <v>820</v>
      </c>
      <c r="H313" t="s">
        <v>820</v>
      </c>
      <c r="I313" t="s">
        <v>820</v>
      </c>
      <c r="J313" t="s">
        <v>820</v>
      </c>
      <c r="K313" t="s">
        <v>820</v>
      </c>
    </row>
    <row r="314" spans="1:11">
      <c r="A314" t="s">
        <v>632</v>
      </c>
      <c r="B314" s="3">
        <v>0</v>
      </c>
      <c r="C314" s="3">
        <v>64.40000000000001</v>
      </c>
      <c r="D314" s="3">
        <v>93.5</v>
      </c>
      <c r="E314" s="3">
        <v>64.40000000000001</v>
      </c>
      <c r="F314" s="3">
        <v>0</v>
      </c>
      <c r="G314" t="s">
        <v>820</v>
      </c>
      <c r="H314" t="s">
        <v>820</v>
      </c>
      <c r="I314" t="s">
        <v>820</v>
      </c>
      <c r="J314" t="s">
        <v>820</v>
      </c>
      <c r="K314" t="s">
        <v>820</v>
      </c>
    </row>
    <row r="315" spans="1:11">
      <c r="A315" t="s">
        <v>634</v>
      </c>
      <c r="B315" s="3">
        <v>0</v>
      </c>
      <c r="C315" s="3">
        <v>59.6</v>
      </c>
      <c r="D315" s="3">
        <v>92</v>
      </c>
      <c r="E315" s="3">
        <v>59.6</v>
      </c>
      <c r="F315" s="3">
        <v>0</v>
      </c>
      <c r="G315" t="s">
        <v>820</v>
      </c>
      <c r="H315" t="s">
        <v>821</v>
      </c>
      <c r="I315" t="s">
        <v>820</v>
      </c>
      <c r="J315" t="s">
        <v>821</v>
      </c>
      <c r="K315" t="s">
        <v>820</v>
      </c>
    </row>
    <row r="316" spans="1:11">
      <c r="A316" t="s">
        <v>636</v>
      </c>
      <c r="B316" s="3">
        <v>0</v>
      </c>
      <c r="C316" s="3">
        <v>61.3</v>
      </c>
      <c r="D316" s="3">
        <v>86.7</v>
      </c>
      <c r="E316" s="3">
        <v>61.3</v>
      </c>
      <c r="F316" s="3">
        <v>0</v>
      </c>
      <c r="G316" t="s">
        <v>820</v>
      </c>
      <c r="H316" t="s">
        <v>820</v>
      </c>
      <c r="I316" t="s">
        <v>821</v>
      </c>
      <c r="J316" t="s">
        <v>820</v>
      </c>
      <c r="K316" t="s">
        <v>820</v>
      </c>
    </row>
    <row r="317" spans="1:11">
      <c r="A317" t="s">
        <v>638</v>
      </c>
      <c r="B317" s="3">
        <v>9.4</v>
      </c>
      <c r="C317" s="3">
        <v>61.9</v>
      </c>
      <c r="D317" s="3">
        <v>86.2</v>
      </c>
      <c r="E317" s="3">
        <v>61.9</v>
      </c>
      <c r="F317" s="3">
        <v>9.4</v>
      </c>
      <c r="G317" t="s">
        <v>822</v>
      </c>
      <c r="H317" t="s">
        <v>820</v>
      </c>
      <c r="I317" t="s">
        <v>821</v>
      </c>
      <c r="J317" t="s">
        <v>820</v>
      </c>
      <c r="K317" t="s">
        <v>822</v>
      </c>
    </row>
    <row r="318" spans="1:11">
      <c r="A318" t="s">
        <v>640</v>
      </c>
      <c r="B318" s="3">
        <v>67</v>
      </c>
      <c r="C318" s="3">
        <v>60.2</v>
      </c>
      <c r="D318" s="3">
        <v>86.8</v>
      </c>
      <c r="E318" s="3">
        <v>60.2</v>
      </c>
      <c r="F318" s="3">
        <v>67</v>
      </c>
      <c r="G318" t="s">
        <v>822</v>
      </c>
      <c r="H318" t="s">
        <v>820</v>
      </c>
      <c r="I318" t="s">
        <v>821</v>
      </c>
      <c r="J318" t="s">
        <v>820</v>
      </c>
      <c r="K318" t="s">
        <v>822</v>
      </c>
    </row>
    <row r="319" spans="1:11">
      <c r="A319" t="s">
        <v>642</v>
      </c>
      <c r="B319" s="3">
        <v>100</v>
      </c>
      <c r="C319" s="3">
        <v>58.6</v>
      </c>
      <c r="D319" s="3">
        <v>87</v>
      </c>
      <c r="E319" s="3">
        <v>58.6</v>
      </c>
      <c r="F319" s="3">
        <v>100</v>
      </c>
      <c r="G319" t="s">
        <v>822</v>
      </c>
      <c r="H319" t="s">
        <v>820</v>
      </c>
      <c r="I319" t="s">
        <v>820</v>
      </c>
      <c r="J319" t="s">
        <v>820</v>
      </c>
      <c r="K319" t="s">
        <v>822</v>
      </c>
    </row>
    <row r="320" spans="1:11">
      <c r="A320" t="s">
        <v>644</v>
      </c>
      <c r="B320" s="3">
        <v>100</v>
      </c>
      <c r="C320" s="3">
        <v>57.8</v>
      </c>
      <c r="D320" s="3">
        <v>88.5</v>
      </c>
      <c r="E320" s="3">
        <v>57.8</v>
      </c>
      <c r="F320" s="3">
        <v>100</v>
      </c>
      <c r="G320" t="s">
        <v>822</v>
      </c>
      <c r="H320" t="s">
        <v>821</v>
      </c>
      <c r="I320" t="s">
        <v>820</v>
      </c>
      <c r="J320" t="s">
        <v>821</v>
      </c>
      <c r="K320" t="s">
        <v>822</v>
      </c>
    </row>
    <row r="321" spans="1:11">
      <c r="A321" t="s">
        <v>646</v>
      </c>
      <c r="B321" s="3">
        <v>100</v>
      </c>
      <c r="C321" s="3">
        <v>54.3</v>
      </c>
      <c r="D321" s="3">
        <v>88.5</v>
      </c>
      <c r="E321" s="3">
        <v>54.3</v>
      </c>
      <c r="F321" s="3">
        <v>100</v>
      </c>
      <c r="G321" t="s">
        <v>822</v>
      </c>
      <c r="H321" t="s">
        <v>821</v>
      </c>
      <c r="I321" t="s">
        <v>820</v>
      </c>
      <c r="J321" t="s">
        <v>821</v>
      </c>
      <c r="K321" t="s">
        <v>822</v>
      </c>
    </row>
    <row r="322" spans="1:11">
      <c r="A322" t="s">
        <v>648</v>
      </c>
      <c r="B322" s="3">
        <v>60.6</v>
      </c>
      <c r="C322" s="3">
        <v>54.5</v>
      </c>
      <c r="D322" s="3">
        <v>89.5</v>
      </c>
      <c r="E322" s="3">
        <v>54.5</v>
      </c>
      <c r="F322" s="3">
        <v>60.6</v>
      </c>
      <c r="G322" t="s">
        <v>821</v>
      </c>
      <c r="H322" t="s">
        <v>821</v>
      </c>
      <c r="I322" t="s">
        <v>820</v>
      </c>
      <c r="J322" t="s">
        <v>821</v>
      </c>
      <c r="K322" t="s">
        <v>821</v>
      </c>
    </row>
    <row r="323" spans="1:11">
      <c r="A323" t="s">
        <v>650</v>
      </c>
      <c r="B323" s="3">
        <v>77.7</v>
      </c>
      <c r="C323" s="3">
        <v>50</v>
      </c>
      <c r="D323" s="3">
        <v>88.5</v>
      </c>
      <c r="E323" s="3">
        <v>50</v>
      </c>
      <c r="F323" s="3">
        <v>77.7</v>
      </c>
      <c r="G323" t="s">
        <v>821</v>
      </c>
      <c r="H323" t="s">
        <v>821</v>
      </c>
      <c r="I323" t="s">
        <v>820</v>
      </c>
      <c r="J323" t="s">
        <v>821</v>
      </c>
      <c r="K323" t="s">
        <v>821</v>
      </c>
    </row>
    <row r="324" spans="1:11">
      <c r="A324" t="s">
        <v>652</v>
      </c>
      <c r="B324" s="3">
        <v>36.8</v>
      </c>
      <c r="C324" s="3">
        <v>49.8</v>
      </c>
      <c r="D324" s="3">
        <v>89.59999999999999</v>
      </c>
      <c r="E324" s="3">
        <v>49.8</v>
      </c>
      <c r="F324" s="3">
        <v>36.8</v>
      </c>
      <c r="G324" t="s">
        <v>821</v>
      </c>
      <c r="H324" t="s">
        <v>821</v>
      </c>
      <c r="I324" t="s">
        <v>820</v>
      </c>
      <c r="J324" t="s">
        <v>821</v>
      </c>
      <c r="K324" t="s">
        <v>821</v>
      </c>
    </row>
    <row r="325" spans="1:11">
      <c r="A325" t="s">
        <v>654</v>
      </c>
      <c r="B325" s="3">
        <v>39.6</v>
      </c>
      <c r="C325" s="3">
        <v>46.1</v>
      </c>
      <c r="D325" s="3">
        <v>88.7</v>
      </c>
      <c r="E325" s="3">
        <v>46.1</v>
      </c>
      <c r="F325" s="3">
        <v>39.6</v>
      </c>
      <c r="G325" t="s">
        <v>821</v>
      </c>
      <c r="H325" t="s">
        <v>821</v>
      </c>
      <c r="I325" t="s">
        <v>820</v>
      </c>
      <c r="J325" t="s">
        <v>821</v>
      </c>
      <c r="K325" t="s">
        <v>821</v>
      </c>
    </row>
    <row r="326" spans="1:11">
      <c r="A326" t="s">
        <v>656</v>
      </c>
      <c r="B326" s="3">
        <v>11.9</v>
      </c>
      <c r="C326" s="3">
        <v>44.8</v>
      </c>
      <c r="D326" s="3">
        <v>89.2</v>
      </c>
      <c r="E326" s="3">
        <v>44.8</v>
      </c>
      <c r="F326" s="3">
        <v>11.9</v>
      </c>
      <c r="G326" t="s">
        <v>821</v>
      </c>
      <c r="H326" t="s">
        <v>821</v>
      </c>
      <c r="I326" t="s">
        <v>820</v>
      </c>
      <c r="J326" t="s">
        <v>821</v>
      </c>
      <c r="K326" t="s">
        <v>821</v>
      </c>
    </row>
    <row r="327" spans="1:11">
      <c r="A327" t="s">
        <v>658</v>
      </c>
      <c r="B327" s="3">
        <v>0</v>
      </c>
      <c r="C327" s="3">
        <v>42</v>
      </c>
      <c r="D327" s="3">
        <v>88.8</v>
      </c>
      <c r="E327" s="3">
        <v>42</v>
      </c>
      <c r="F327" s="3">
        <v>0</v>
      </c>
      <c r="G327" t="s">
        <v>821</v>
      </c>
      <c r="H327" t="s">
        <v>821</v>
      </c>
      <c r="I327" t="s">
        <v>820</v>
      </c>
      <c r="J327" t="s">
        <v>821</v>
      </c>
      <c r="K327" t="s">
        <v>821</v>
      </c>
    </row>
    <row r="328" spans="1:11">
      <c r="A328" t="s">
        <v>660</v>
      </c>
      <c r="B328" s="3">
        <v>0</v>
      </c>
      <c r="C328" s="3">
        <v>39</v>
      </c>
      <c r="D328" s="3">
        <v>88</v>
      </c>
      <c r="E328" s="3">
        <v>39</v>
      </c>
      <c r="F328" s="3">
        <v>0</v>
      </c>
      <c r="G328" t="s">
        <v>821</v>
      </c>
      <c r="H328" t="s">
        <v>821</v>
      </c>
      <c r="I328" t="s">
        <v>820</v>
      </c>
      <c r="J328" t="s">
        <v>821</v>
      </c>
      <c r="K328" t="s">
        <v>821</v>
      </c>
    </row>
    <row r="329" spans="1:11">
      <c r="A329" t="s">
        <v>662</v>
      </c>
      <c r="B329" s="3">
        <v>0</v>
      </c>
      <c r="C329" s="3">
        <v>35.8</v>
      </c>
      <c r="D329" s="3">
        <v>87.3</v>
      </c>
      <c r="E329" s="3">
        <v>35.8</v>
      </c>
      <c r="F329" s="3">
        <v>0</v>
      </c>
      <c r="G329" t="s">
        <v>821</v>
      </c>
      <c r="H329" t="s">
        <v>821</v>
      </c>
      <c r="I329" t="s">
        <v>820</v>
      </c>
      <c r="J329" t="s">
        <v>821</v>
      </c>
      <c r="K329" t="s">
        <v>821</v>
      </c>
    </row>
    <row r="330" spans="1:11">
      <c r="A330" t="s">
        <v>664</v>
      </c>
      <c r="B330" s="3">
        <v>0</v>
      </c>
      <c r="C330" s="3">
        <v>32.9</v>
      </c>
      <c r="D330" s="3">
        <v>86.2</v>
      </c>
      <c r="E330" s="3">
        <v>32.9</v>
      </c>
      <c r="F330" s="3">
        <v>0</v>
      </c>
      <c r="G330" t="s">
        <v>821</v>
      </c>
      <c r="H330" t="s">
        <v>821</v>
      </c>
      <c r="I330" t="s">
        <v>820</v>
      </c>
      <c r="J330" t="s">
        <v>821</v>
      </c>
      <c r="K330" t="s">
        <v>821</v>
      </c>
    </row>
    <row r="331" spans="1:11">
      <c r="A331" t="s">
        <v>666</v>
      </c>
      <c r="B331" s="3">
        <v>0</v>
      </c>
      <c r="C331" s="3">
        <v>29</v>
      </c>
      <c r="D331" s="3">
        <v>83.8</v>
      </c>
      <c r="E331" s="3">
        <v>29</v>
      </c>
      <c r="F331" s="3">
        <v>0</v>
      </c>
      <c r="G331" t="s">
        <v>820</v>
      </c>
      <c r="H331" t="s">
        <v>821</v>
      </c>
      <c r="I331" t="s">
        <v>821</v>
      </c>
      <c r="J331" t="s">
        <v>821</v>
      </c>
      <c r="K331" t="s">
        <v>820</v>
      </c>
    </row>
    <row r="332" spans="1:11">
      <c r="A332" t="s">
        <v>668</v>
      </c>
      <c r="B332" s="3">
        <v>4.5</v>
      </c>
      <c r="C332" s="3">
        <v>25.7</v>
      </c>
      <c r="D332" s="3">
        <v>82</v>
      </c>
      <c r="E332" s="3">
        <v>25.7</v>
      </c>
      <c r="F332" s="3">
        <v>4.5</v>
      </c>
      <c r="G332" t="s">
        <v>822</v>
      </c>
      <c r="H332" t="s">
        <v>821</v>
      </c>
      <c r="I332" t="s">
        <v>821</v>
      </c>
      <c r="J332" t="s">
        <v>821</v>
      </c>
      <c r="K332" t="s">
        <v>822</v>
      </c>
    </row>
    <row r="333" spans="1:11">
      <c r="A333" t="s">
        <v>670</v>
      </c>
      <c r="B333" s="3">
        <v>10.9</v>
      </c>
      <c r="C333" s="3">
        <v>21.1</v>
      </c>
      <c r="D333" s="3">
        <v>79.59999999999999</v>
      </c>
      <c r="E333" s="3">
        <v>21.1</v>
      </c>
      <c r="F333" s="3">
        <v>10.9</v>
      </c>
      <c r="G333" t="s">
        <v>822</v>
      </c>
      <c r="H333" t="s">
        <v>821</v>
      </c>
      <c r="I333" t="s">
        <v>821</v>
      </c>
      <c r="J333" t="s">
        <v>821</v>
      </c>
      <c r="K333" t="s">
        <v>822</v>
      </c>
    </row>
    <row r="334" spans="1:11">
      <c r="A334" t="s">
        <v>672</v>
      </c>
      <c r="B334" s="3">
        <v>15.4</v>
      </c>
      <c r="C334" s="3">
        <v>18</v>
      </c>
      <c r="D334" s="3">
        <v>77.5</v>
      </c>
      <c r="E334" s="3">
        <v>18</v>
      </c>
      <c r="F334" s="3">
        <v>15.4</v>
      </c>
      <c r="G334" t="s">
        <v>822</v>
      </c>
      <c r="H334" t="s">
        <v>821</v>
      </c>
      <c r="I334" t="s">
        <v>821</v>
      </c>
      <c r="J334" t="s">
        <v>821</v>
      </c>
      <c r="K334" t="s">
        <v>822</v>
      </c>
    </row>
    <row r="335" spans="1:11">
      <c r="A335" t="s">
        <v>674</v>
      </c>
      <c r="B335" s="3">
        <v>21</v>
      </c>
      <c r="C335" s="3">
        <v>14.8</v>
      </c>
      <c r="D335" s="3">
        <v>75.2</v>
      </c>
      <c r="E335" s="3">
        <v>14.8</v>
      </c>
      <c r="F335" s="3">
        <v>21</v>
      </c>
      <c r="G335" t="s">
        <v>822</v>
      </c>
      <c r="H335" t="s">
        <v>821</v>
      </c>
      <c r="I335" t="s">
        <v>821</v>
      </c>
      <c r="J335" t="s">
        <v>821</v>
      </c>
      <c r="K335" t="s">
        <v>822</v>
      </c>
    </row>
    <row r="336" spans="1:11">
      <c r="A336" t="s">
        <v>676</v>
      </c>
      <c r="B336" s="3">
        <v>26.9</v>
      </c>
      <c r="C336" s="3">
        <v>10.9</v>
      </c>
      <c r="D336" s="3">
        <v>72.8</v>
      </c>
      <c r="E336" s="3">
        <v>10.9</v>
      </c>
      <c r="F336" s="3">
        <v>26.9</v>
      </c>
      <c r="G336" t="s">
        <v>822</v>
      </c>
      <c r="H336" t="s">
        <v>821</v>
      </c>
      <c r="I336" t="s">
        <v>821</v>
      </c>
      <c r="J336" t="s">
        <v>821</v>
      </c>
      <c r="K336" t="s">
        <v>822</v>
      </c>
    </row>
    <row r="337" spans="1:11">
      <c r="A337" t="s">
        <v>678</v>
      </c>
      <c r="B337" s="3">
        <v>43.1</v>
      </c>
      <c r="C337" s="3">
        <v>10</v>
      </c>
      <c r="D337" s="3">
        <v>69</v>
      </c>
      <c r="E337" s="3">
        <v>10</v>
      </c>
      <c r="F337" s="3">
        <v>43.1</v>
      </c>
      <c r="G337" t="s">
        <v>822</v>
      </c>
      <c r="H337" t="s">
        <v>821</v>
      </c>
      <c r="I337" t="s">
        <v>821</v>
      </c>
      <c r="J337" t="s">
        <v>821</v>
      </c>
      <c r="K337" t="s">
        <v>822</v>
      </c>
    </row>
    <row r="338" spans="1:11">
      <c r="A338" t="s">
        <v>680</v>
      </c>
      <c r="B338" s="3">
        <v>57.5</v>
      </c>
      <c r="C338" s="3">
        <v>7.2</v>
      </c>
      <c r="D338" s="3">
        <v>65.8</v>
      </c>
      <c r="E338" s="3">
        <v>7.2</v>
      </c>
      <c r="F338" s="3">
        <v>57.5</v>
      </c>
      <c r="G338" t="s">
        <v>822</v>
      </c>
      <c r="H338" t="s">
        <v>821</v>
      </c>
      <c r="I338" t="s">
        <v>821</v>
      </c>
      <c r="J338" t="s">
        <v>821</v>
      </c>
      <c r="K338" t="s">
        <v>822</v>
      </c>
    </row>
    <row r="339" spans="1:11">
      <c r="A339" t="s">
        <v>682</v>
      </c>
      <c r="B339" s="3">
        <v>61.3</v>
      </c>
      <c r="C339" s="3">
        <v>3.3</v>
      </c>
      <c r="D339" s="3">
        <v>63.4</v>
      </c>
      <c r="E339" s="3">
        <v>3.3</v>
      </c>
      <c r="F339" s="3">
        <v>61.3</v>
      </c>
      <c r="G339" t="s">
        <v>822</v>
      </c>
      <c r="H339" t="s">
        <v>821</v>
      </c>
      <c r="I339" t="s">
        <v>821</v>
      </c>
      <c r="J339" t="s">
        <v>821</v>
      </c>
      <c r="K339" t="s">
        <v>822</v>
      </c>
    </row>
    <row r="340" spans="1:11">
      <c r="A340" t="s">
        <v>684</v>
      </c>
      <c r="B340" s="3">
        <v>65.09999999999999</v>
      </c>
      <c r="C340" s="3">
        <v>2.3</v>
      </c>
      <c r="D340" s="3">
        <v>61.6</v>
      </c>
      <c r="E340" s="3">
        <v>2.3</v>
      </c>
      <c r="F340" s="3">
        <v>65.09999999999999</v>
      </c>
      <c r="G340" t="s">
        <v>822</v>
      </c>
      <c r="H340" t="s">
        <v>821</v>
      </c>
      <c r="I340" t="s">
        <v>821</v>
      </c>
      <c r="J340" t="s">
        <v>821</v>
      </c>
      <c r="K340" t="s">
        <v>822</v>
      </c>
    </row>
    <row r="341" spans="1:11">
      <c r="A341" t="s">
        <v>686</v>
      </c>
      <c r="B341" s="3">
        <v>59.4</v>
      </c>
      <c r="C341" s="3">
        <v>0</v>
      </c>
      <c r="D341" s="3">
        <v>60.3</v>
      </c>
      <c r="E341" s="3">
        <v>0</v>
      </c>
      <c r="F341" s="3">
        <v>59.4</v>
      </c>
      <c r="G341" t="s">
        <v>822</v>
      </c>
      <c r="H341" t="s">
        <v>821</v>
      </c>
      <c r="I341" t="s">
        <v>821</v>
      </c>
      <c r="J341" t="s">
        <v>821</v>
      </c>
      <c r="K341" t="s">
        <v>822</v>
      </c>
    </row>
    <row r="342" spans="1:11">
      <c r="A342" t="s">
        <v>688</v>
      </c>
      <c r="B342" s="3">
        <v>81.8</v>
      </c>
      <c r="C342" s="3">
        <v>0</v>
      </c>
      <c r="D342" s="3">
        <v>54.8</v>
      </c>
      <c r="E342" s="3">
        <v>0</v>
      </c>
      <c r="F342" s="3">
        <v>81.8</v>
      </c>
      <c r="G342" t="s">
        <v>822</v>
      </c>
      <c r="H342" t="s">
        <v>821</v>
      </c>
      <c r="I342" t="s">
        <v>821</v>
      </c>
      <c r="J342" t="s">
        <v>821</v>
      </c>
      <c r="K342" t="s">
        <v>822</v>
      </c>
    </row>
    <row r="343" spans="1:11">
      <c r="A343" t="s">
        <v>690</v>
      </c>
      <c r="B343" s="3">
        <v>83.2</v>
      </c>
      <c r="C343" s="3">
        <v>0</v>
      </c>
      <c r="D343" s="3">
        <v>52.1</v>
      </c>
      <c r="E343" s="3">
        <v>0</v>
      </c>
      <c r="F343" s="3">
        <v>83.2</v>
      </c>
      <c r="G343" t="s">
        <v>822</v>
      </c>
      <c r="H343" t="s">
        <v>820</v>
      </c>
      <c r="I343" t="s">
        <v>821</v>
      </c>
      <c r="J343" t="s">
        <v>820</v>
      </c>
      <c r="K343" t="s">
        <v>822</v>
      </c>
    </row>
    <row r="344" spans="1:11">
      <c r="A344" t="s">
        <v>692</v>
      </c>
      <c r="B344" s="3">
        <v>80.40000000000001</v>
      </c>
      <c r="C344" s="3">
        <v>0</v>
      </c>
      <c r="D344" s="3">
        <v>49.8</v>
      </c>
      <c r="E344" s="3">
        <v>0</v>
      </c>
      <c r="F344" s="3">
        <v>80.40000000000001</v>
      </c>
      <c r="G344" t="s">
        <v>822</v>
      </c>
      <c r="H344" t="s">
        <v>820</v>
      </c>
      <c r="I344" t="s">
        <v>821</v>
      </c>
      <c r="J344" t="s">
        <v>820</v>
      </c>
      <c r="K344" t="s">
        <v>822</v>
      </c>
    </row>
    <row r="345" spans="1:11">
      <c r="A345" t="s">
        <v>694</v>
      </c>
      <c r="B345" s="3">
        <v>92.40000000000001</v>
      </c>
      <c r="C345" s="3">
        <v>0</v>
      </c>
      <c r="D345" s="3">
        <v>44.3</v>
      </c>
      <c r="E345" s="3">
        <v>0</v>
      </c>
      <c r="F345" s="3">
        <v>92.40000000000001</v>
      </c>
      <c r="G345" t="s">
        <v>822</v>
      </c>
      <c r="H345" t="s">
        <v>820</v>
      </c>
      <c r="I345" t="s">
        <v>821</v>
      </c>
      <c r="J345" t="s">
        <v>820</v>
      </c>
      <c r="K345" t="s">
        <v>822</v>
      </c>
    </row>
    <row r="346" spans="1:11">
      <c r="A346" t="s">
        <v>696</v>
      </c>
      <c r="B346" s="3">
        <v>99</v>
      </c>
      <c r="C346" s="3">
        <v>0</v>
      </c>
      <c r="D346" s="3">
        <v>40.7</v>
      </c>
      <c r="E346" s="3">
        <v>0</v>
      </c>
      <c r="F346" s="3">
        <v>99</v>
      </c>
      <c r="G346" t="s">
        <v>822</v>
      </c>
      <c r="H346" t="s">
        <v>820</v>
      </c>
      <c r="I346" t="s">
        <v>821</v>
      </c>
      <c r="J346" t="s">
        <v>820</v>
      </c>
      <c r="K346" t="s">
        <v>822</v>
      </c>
    </row>
    <row r="347" spans="1:11">
      <c r="A347" t="s">
        <v>698</v>
      </c>
      <c r="B347" s="3">
        <v>100</v>
      </c>
      <c r="C347" s="3">
        <v>0</v>
      </c>
      <c r="D347" s="3">
        <v>35.8</v>
      </c>
      <c r="E347" s="3">
        <v>0</v>
      </c>
      <c r="F347" s="3">
        <v>100</v>
      </c>
      <c r="G347" t="s">
        <v>822</v>
      </c>
      <c r="H347" t="s">
        <v>820</v>
      </c>
      <c r="I347" t="s">
        <v>821</v>
      </c>
      <c r="J347" t="s">
        <v>820</v>
      </c>
      <c r="K347" t="s">
        <v>822</v>
      </c>
    </row>
    <row r="348" spans="1:11">
      <c r="A348" t="s">
        <v>700</v>
      </c>
      <c r="B348" s="3">
        <v>100</v>
      </c>
      <c r="C348" s="3">
        <v>0</v>
      </c>
      <c r="D348" s="3">
        <v>31.1</v>
      </c>
      <c r="E348" s="3">
        <v>0</v>
      </c>
      <c r="F348" s="3">
        <v>100</v>
      </c>
      <c r="G348" t="s">
        <v>822</v>
      </c>
      <c r="H348" t="s">
        <v>820</v>
      </c>
      <c r="I348" t="s">
        <v>821</v>
      </c>
      <c r="J348" t="s">
        <v>820</v>
      </c>
      <c r="K348" t="s">
        <v>822</v>
      </c>
    </row>
    <row r="349" spans="1:11">
      <c r="A349" t="s">
        <v>702</v>
      </c>
      <c r="B349" s="3">
        <v>100</v>
      </c>
      <c r="C349" s="3">
        <v>0</v>
      </c>
      <c r="D349" s="3">
        <v>27.3</v>
      </c>
      <c r="E349" s="3">
        <v>0</v>
      </c>
      <c r="F349" s="3">
        <v>100</v>
      </c>
      <c r="G349" t="s">
        <v>820</v>
      </c>
      <c r="H349" t="s">
        <v>820</v>
      </c>
      <c r="I349" t="s">
        <v>821</v>
      </c>
      <c r="J349" t="s">
        <v>820</v>
      </c>
      <c r="K349" t="s">
        <v>820</v>
      </c>
    </row>
    <row r="350" spans="1:11">
      <c r="A350" t="s">
        <v>704</v>
      </c>
      <c r="B350" s="3">
        <v>100</v>
      </c>
      <c r="C350" s="3">
        <v>0</v>
      </c>
      <c r="D350" s="3">
        <v>21.8</v>
      </c>
      <c r="E350" s="3">
        <v>0</v>
      </c>
      <c r="F350" s="3">
        <v>100</v>
      </c>
      <c r="G350" t="s">
        <v>820</v>
      </c>
      <c r="H350" t="s">
        <v>820</v>
      </c>
      <c r="I350" t="s">
        <v>821</v>
      </c>
      <c r="J350" t="s">
        <v>820</v>
      </c>
      <c r="K350" t="s">
        <v>820</v>
      </c>
    </row>
    <row r="351" spans="1:11">
      <c r="A351" t="s">
        <v>706</v>
      </c>
      <c r="B351" s="3">
        <v>100</v>
      </c>
      <c r="C351" s="3">
        <v>0</v>
      </c>
      <c r="D351" s="3">
        <v>18.8</v>
      </c>
      <c r="E351" s="3">
        <v>0</v>
      </c>
      <c r="F351" s="3">
        <v>100</v>
      </c>
      <c r="G351" t="s">
        <v>820</v>
      </c>
      <c r="H351" t="s">
        <v>820</v>
      </c>
      <c r="I351" t="s">
        <v>821</v>
      </c>
      <c r="J351" t="s">
        <v>820</v>
      </c>
      <c r="K351" t="s">
        <v>820</v>
      </c>
    </row>
    <row r="352" spans="1:11">
      <c r="A352" t="s">
        <v>708</v>
      </c>
      <c r="B352" s="3">
        <v>100</v>
      </c>
      <c r="C352" s="3">
        <v>0</v>
      </c>
      <c r="D352" s="3">
        <v>13.5</v>
      </c>
      <c r="E352" s="3">
        <v>0</v>
      </c>
      <c r="F352" s="3">
        <v>100</v>
      </c>
      <c r="G352" t="s">
        <v>820</v>
      </c>
      <c r="H352" t="s">
        <v>820</v>
      </c>
      <c r="I352" t="s">
        <v>821</v>
      </c>
      <c r="J352" t="s">
        <v>820</v>
      </c>
      <c r="K352" t="s">
        <v>820</v>
      </c>
    </row>
    <row r="353" spans="1:11">
      <c r="A353" t="s">
        <v>710</v>
      </c>
      <c r="B353" s="3">
        <v>100</v>
      </c>
      <c r="C353" s="3">
        <v>0</v>
      </c>
      <c r="D353" s="3">
        <v>7.2</v>
      </c>
      <c r="E353" s="3">
        <v>0</v>
      </c>
      <c r="F353" s="3">
        <v>100</v>
      </c>
      <c r="G353" t="s">
        <v>820</v>
      </c>
      <c r="H353" t="s">
        <v>820</v>
      </c>
      <c r="I353" t="s">
        <v>821</v>
      </c>
      <c r="J353" t="s">
        <v>820</v>
      </c>
      <c r="K353" t="s">
        <v>820</v>
      </c>
    </row>
    <row r="354" spans="1:11">
      <c r="A354" t="s">
        <v>712</v>
      </c>
      <c r="B354" s="3">
        <v>100</v>
      </c>
      <c r="C354" s="3">
        <v>0</v>
      </c>
      <c r="D354" s="3">
        <v>5.3</v>
      </c>
      <c r="E354" s="3">
        <v>0</v>
      </c>
      <c r="F354" s="3">
        <v>100</v>
      </c>
      <c r="G354" t="s">
        <v>820</v>
      </c>
      <c r="H354" t="s">
        <v>820</v>
      </c>
      <c r="I354" t="s">
        <v>821</v>
      </c>
      <c r="J354" t="s">
        <v>820</v>
      </c>
      <c r="K354" t="s">
        <v>820</v>
      </c>
    </row>
    <row r="355" spans="1:11">
      <c r="A355" t="s">
        <v>714</v>
      </c>
      <c r="B355" s="3">
        <v>100</v>
      </c>
      <c r="C355" s="3">
        <v>0</v>
      </c>
      <c r="D355" s="3">
        <v>0</v>
      </c>
      <c r="E355" s="3">
        <v>0</v>
      </c>
      <c r="F355" s="3">
        <v>100</v>
      </c>
      <c r="G355" t="s">
        <v>820</v>
      </c>
      <c r="H355" t="s">
        <v>820</v>
      </c>
      <c r="I355" t="s">
        <v>821</v>
      </c>
      <c r="J355" t="s">
        <v>820</v>
      </c>
      <c r="K355" t="s">
        <v>820</v>
      </c>
    </row>
    <row r="356" spans="1:11">
      <c r="A356" t="s">
        <v>716</v>
      </c>
      <c r="B356" s="3">
        <v>100</v>
      </c>
      <c r="C356" s="3">
        <v>0</v>
      </c>
      <c r="D356" s="3">
        <v>0</v>
      </c>
      <c r="E356" s="3">
        <v>0</v>
      </c>
      <c r="F356" s="3">
        <v>100</v>
      </c>
      <c r="G356" t="s">
        <v>820</v>
      </c>
      <c r="H356" t="s">
        <v>820</v>
      </c>
      <c r="I356" t="s">
        <v>821</v>
      </c>
      <c r="J356" t="s">
        <v>820</v>
      </c>
      <c r="K356" t="s">
        <v>820</v>
      </c>
    </row>
    <row r="357" spans="1:11">
      <c r="A357" t="s">
        <v>718</v>
      </c>
      <c r="B357" s="3">
        <v>100</v>
      </c>
      <c r="C357" s="3">
        <v>0</v>
      </c>
      <c r="D357" s="3">
        <v>0</v>
      </c>
      <c r="E357" s="3">
        <v>0</v>
      </c>
      <c r="F357" s="3">
        <v>100</v>
      </c>
      <c r="G357" t="s">
        <v>820</v>
      </c>
      <c r="H357" t="s">
        <v>820</v>
      </c>
      <c r="I357" t="s">
        <v>821</v>
      </c>
      <c r="J357" t="s">
        <v>820</v>
      </c>
      <c r="K357" t="s">
        <v>820</v>
      </c>
    </row>
    <row r="358" spans="1:11">
      <c r="A358" t="s">
        <v>720</v>
      </c>
      <c r="B358" s="3">
        <v>100</v>
      </c>
      <c r="C358" s="3">
        <v>0</v>
      </c>
      <c r="D358" s="3">
        <v>0</v>
      </c>
      <c r="E358" s="3">
        <v>0</v>
      </c>
      <c r="F358" s="3">
        <v>100</v>
      </c>
      <c r="G358" t="s">
        <v>820</v>
      </c>
      <c r="H358" t="s">
        <v>820</v>
      </c>
      <c r="I358" t="s">
        <v>820</v>
      </c>
      <c r="J358" t="s">
        <v>820</v>
      </c>
      <c r="K358" t="s">
        <v>820</v>
      </c>
    </row>
    <row r="359" spans="1:11">
      <c r="A359" t="s">
        <v>722</v>
      </c>
      <c r="B359" s="3">
        <v>100</v>
      </c>
      <c r="C359" s="3">
        <v>0</v>
      </c>
      <c r="D359" s="3">
        <v>0</v>
      </c>
      <c r="E359" s="3">
        <v>0</v>
      </c>
      <c r="F359" s="3">
        <v>100</v>
      </c>
      <c r="G359" t="s">
        <v>820</v>
      </c>
      <c r="H359" t="s">
        <v>820</v>
      </c>
      <c r="I359" t="s">
        <v>820</v>
      </c>
      <c r="J359" t="s">
        <v>820</v>
      </c>
      <c r="K359" t="s">
        <v>820</v>
      </c>
    </row>
    <row r="360" spans="1:11">
      <c r="A360" t="s">
        <v>724</v>
      </c>
      <c r="B360" s="3">
        <v>100</v>
      </c>
      <c r="C360" s="3">
        <v>0</v>
      </c>
      <c r="D360" s="3">
        <v>0</v>
      </c>
      <c r="E360" s="3">
        <v>0</v>
      </c>
      <c r="F360" s="3">
        <v>100</v>
      </c>
      <c r="G360" t="s">
        <v>820</v>
      </c>
      <c r="H360" t="s">
        <v>820</v>
      </c>
      <c r="I360" t="s">
        <v>820</v>
      </c>
      <c r="J360" t="s">
        <v>820</v>
      </c>
      <c r="K360" t="s">
        <v>820</v>
      </c>
    </row>
    <row r="361" spans="1:11">
      <c r="A361" t="s">
        <v>726</v>
      </c>
      <c r="B361" s="3">
        <v>100</v>
      </c>
      <c r="C361" s="3">
        <v>0</v>
      </c>
      <c r="D361" s="3">
        <v>0</v>
      </c>
      <c r="E361" s="3">
        <v>0</v>
      </c>
      <c r="F361" s="3">
        <v>100</v>
      </c>
      <c r="G361" t="s">
        <v>820</v>
      </c>
      <c r="H361" t="s">
        <v>820</v>
      </c>
      <c r="I361" t="s">
        <v>820</v>
      </c>
      <c r="J361" t="s">
        <v>820</v>
      </c>
      <c r="K361" t="s">
        <v>820</v>
      </c>
    </row>
    <row r="362" spans="1:11">
      <c r="A362" t="s">
        <v>728</v>
      </c>
      <c r="B362" s="3">
        <v>100</v>
      </c>
      <c r="C362" s="3">
        <v>0</v>
      </c>
      <c r="D362" s="3">
        <v>0</v>
      </c>
      <c r="E362" s="3">
        <v>0</v>
      </c>
      <c r="F362" s="3">
        <v>100</v>
      </c>
      <c r="G362" t="s">
        <v>820</v>
      </c>
      <c r="H362" t="s">
        <v>820</v>
      </c>
      <c r="I362" t="s">
        <v>820</v>
      </c>
      <c r="J362" t="s">
        <v>820</v>
      </c>
      <c r="K362" t="s">
        <v>820</v>
      </c>
    </row>
    <row r="363" spans="1:11">
      <c r="A363" t="s">
        <v>730</v>
      </c>
      <c r="B363" s="3">
        <v>100</v>
      </c>
      <c r="C363" s="3">
        <v>0</v>
      </c>
      <c r="D363" s="3">
        <v>0</v>
      </c>
      <c r="E363" s="3">
        <v>0</v>
      </c>
      <c r="F363" s="3">
        <v>100</v>
      </c>
      <c r="G363" t="s">
        <v>820</v>
      </c>
      <c r="H363" t="s">
        <v>820</v>
      </c>
      <c r="I363" t="s">
        <v>820</v>
      </c>
      <c r="J363" t="s">
        <v>820</v>
      </c>
      <c r="K363" t="s">
        <v>820</v>
      </c>
    </row>
    <row r="364" spans="1:11">
      <c r="A364" t="s">
        <v>732</v>
      </c>
      <c r="B364" s="3">
        <v>100</v>
      </c>
      <c r="C364" s="3">
        <v>0</v>
      </c>
      <c r="D364" s="3">
        <v>0</v>
      </c>
      <c r="E364" s="3">
        <v>0</v>
      </c>
      <c r="F364" s="3">
        <v>100</v>
      </c>
      <c r="G364" t="s">
        <v>820</v>
      </c>
      <c r="H364" t="s">
        <v>820</v>
      </c>
      <c r="I364" t="s">
        <v>820</v>
      </c>
      <c r="J364" t="s">
        <v>820</v>
      </c>
      <c r="K364" t="s">
        <v>820</v>
      </c>
    </row>
    <row r="365" spans="1:11">
      <c r="A365" t="s">
        <v>734</v>
      </c>
      <c r="B365" s="3">
        <v>100</v>
      </c>
      <c r="C365" s="3">
        <v>0</v>
      </c>
      <c r="D365" s="3">
        <v>0</v>
      </c>
      <c r="E365" s="3">
        <v>0</v>
      </c>
      <c r="F365" s="3">
        <v>100</v>
      </c>
      <c r="G365" t="s">
        <v>820</v>
      </c>
      <c r="H365" t="s">
        <v>820</v>
      </c>
      <c r="I365" t="s">
        <v>820</v>
      </c>
      <c r="J365" t="s">
        <v>820</v>
      </c>
      <c r="K365" t="s">
        <v>820</v>
      </c>
    </row>
    <row r="366" spans="1:11">
      <c r="A366" t="s">
        <v>736</v>
      </c>
      <c r="B366" s="3">
        <v>100</v>
      </c>
      <c r="C366" s="3">
        <v>0</v>
      </c>
      <c r="D366" s="3">
        <v>0</v>
      </c>
      <c r="E366" s="3">
        <v>0</v>
      </c>
      <c r="F366" s="3">
        <v>100</v>
      </c>
      <c r="G366" t="s">
        <v>820</v>
      </c>
      <c r="H366" t="s">
        <v>820</v>
      </c>
      <c r="I366" t="s">
        <v>820</v>
      </c>
      <c r="J366" t="s">
        <v>820</v>
      </c>
      <c r="K366" t="s">
        <v>820</v>
      </c>
    </row>
    <row r="367" spans="1:11">
      <c r="A367" t="s">
        <v>738</v>
      </c>
      <c r="B367" s="3">
        <v>100</v>
      </c>
      <c r="C367" s="3">
        <v>0</v>
      </c>
      <c r="D367" s="3">
        <v>0</v>
      </c>
      <c r="E367" s="3">
        <v>0</v>
      </c>
      <c r="F367" s="3">
        <v>100</v>
      </c>
      <c r="G367" t="s">
        <v>820</v>
      </c>
      <c r="H367" t="s">
        <v>820</v>
      </c>
      <c r="I367" t="s">
        <v>820</v>
      </c>
      <c r="J367" t="s">
        <v>820</v>
      </c>
      <c r="K367" t="s">
        <v>820</v>
      </c>
    </row>
    <row r="368" spans="1:11">
      <c r="A368" t="s">
        <v>740</v>
      </c>
      <c r="B368" s="3">
        <v>100</v>
      </c>
      <c r="C368" s="3">
        <v>0</v>
      </c>
      <c r="D368" s="3">
        <v>0</v>
      </c>
      <c r="E368" s="3">
        <v>0</v>
      </c>
      <c r="F368" s="3">
        <v>100</v>
      </c>
      <c r="G368" t="s">
        <v>820</v>
      </c>
      <c r="H368" t="s">
        <v>820</v>
      </c>
      <c r="I368" t="s">
        <v>820</v>
      </c>
      <c r="J368" t="s">
        <v>820</v>
      </c>
      <c r="K368" t="s">
        <v>820</v>
      </c>
    </row>
    <row r="369" spans="1:11">
      <c r="A369" t="s">
        <v>742</v>
      </c>
      <c r="B369" s="3">
        <v>100</v>
      </c>
      <c r="C369" s="3">
        <v>0</v>
      </c>
      <c r="D369" s="3">
        <v>0</v>
      </c>
      <c r="E369" s="3">
        <v>0</v>
      </c>
      <c r="F369" s="3">
        <v>100</v>
      </c>
      <c r="G369" t="s">
        <v>820</v>
      </c>
      <c r="H369" t="s">
        <v>820</v>
      </c>
      <c r="I369" t="s">
        <v>820</v>
      </c>
      <c r="J369" t="s">
        <v>820</v>
      </c>
      <c r="K369" t="s">
        <v>820</v>
      </c>
    </row>
    <row r="370" spans="1:11">
      <c r="A370" t="s">
        <v>744</v>
      </c>
      <c r="B370" s="3">
        <v>100</v>
      </c>
      <c r="C370" s="3">
        <v>0</v>
      </c>
      <c r="D370" s="3">
        <v>0</v>
      </c>
      <c r="E370" s="3">
        <v>0</v>
      </c>
      <c r="F370" s="3">
        <v>100</v>
      </c>
      <c r="G370" t="s">
        <v>820</v>
      </c>
      <c r="H370" t="s">
        <v>820</v>
      </c>
      <c r="I370" t="s">
        <v>820</v>
      </c>
      <c r="J370" t="s">
        <v>820</v>
      </c>
      <c r="K370" t="s">
        <v>820</v>
      </c>
    </row>
    <row r="371" spans="1:11">
      <c r="A371" t="s">
        <v>746</v>
      </c>
      <c r="B371" s="3">
        <v>100</v>
      </c>
      <c r="C371" s="3">
        <v>0</v>
      </c>
      <c r="D371" s="3">
        <v>0</v>
      </c>
      <c r="E371" s="3">
        <v>0</v>
      </c>
      <c r="F371" s="3">
        <v>100</v>
      </c>
      <c r="G371" t="s">
        <v>820</v>
      </c>
      <c r="H371" t="s">
        <v>820</v>
      </c>
      <c r="I371" t="s">
        <v>820</v>
      </c>
      <c r="J371" t="s">
        <v>820</v>
      </c>
      <c r="K371" t="s">
        <v>820</v>
      </c>
    </row>
    <row r="372" spans="1:11">
      <c r="A372" t="s">
        <v>748</v>
      </c>
      <c r="B372" s="3">
        <v>100</v>
      </c>
      <c r="C372" s="3">
        <v>0</v>
      </c>
      <c r="D372" s="3">
        <v>0</v>
      </c>
      <c r="E372" s="3">
        <v>0</v>
      </c>
      <c r="F372" s="3">
        <v>100</v>
      </c>
      <c r="G372" t="s">
        <v>820</v>
      </c>
      <c r="H372" t="s">
        <v>820</v>
      </c>
      <c r="I372" t="s">
        <v>820</v>
      </c>
      <c r="J372" t="s">
        <v>820</v>
      </c>
      <c r="K372" t="s">
        <v>820</v>
      </c>
    </row>
    <row r="373" spans="1:11">
      <c r="A373" t="s">
        <v>750</v>
      </c>
      <c r="B373" s="3">
        <v>100</v>
      </c>
      <c r="C373" s="3">
        <v>0</v>
      </c>
      <c r="D373" s="3">
        <v>0</v>
      </c>
      <c r="E373" s="3">
        <v>0</v>
      </c>
      <c r="F373" s="3">
        <v>100</v>
      </c>
      <c r="G373" t="s">
        <v>820</v>
      </c>
      <c r="H373" t="s">
        <v>820</v>
      </c>
      <c r="I373" t="s">
        <v>820</v>
      </c>
      <c r="J373" t="s">
        <v>820</v>
      </c>
      <c r="K373" t="s">
        <v>820</v>
      </c>
    </row>
    <row r="374" spans="1:11">
      <c r="A374" t="s">
        <v>752</v>
      </c>
      <c r="B374" s="3">
        <v>100</v>
      </c>
      <c r="C374" s="3">
        <v>0</v>
      </c>
      <c r="D374" s="3">
        <v>0</v>
      </c>
      <c r="E374" s="3">
        <v>0</v>
      </c>
      <c r="F374" s="3">
        <v>100</v>
      </c>
      <c r="G374" t="s">
        <v>820</v>
      </c>
      <c r="H374" t="s">
        <v>820</v>
      </c>
      <c r="I374" t="s">
        <v>820</v>
      </c>
      <c r="J374" t="s">
        <v>820</v>
      </c>
      <c r="K374" t="s">
        <v>820</v>
      </c>
    </row>
    <row r="375" spans="1:11">
      <c r="A375" t="s">
        <v>754</v>
      </c>
      <c r="B375" s="3">
        <v>80.40000000000001</v>
      </c>
      <c r="C375" s="3">
        <v>0</v>
      </c>
      <c r="D375" s="3">
        <v>0</v>
      </c>
      <c r="E375" s="3">
        <v>0</v>
      </c>
      <c r="F375" s="3">
        <v>80.40000000000001</v>
      </c>
      <c r="G375" t="s">
        <v>821</v>
      </c>
      <c r="H375" t="s">
        <v>820</v>
      </c>
      <c r="I375" t="s">
        <v>820</v>
      </c>
      <c r="J375" t="s">
        <v>820</v>
      </c>
      <c r="K375" t="s">
        <v>821</v>
      </c>
    </row>
    <row r="376" spans="1:11">
      <c r="A376" t="s">
        <v>756</v>
      </c>
      <c r="B376" s="3">
        <v>53.8</v>
      </c>
      <c r="C376" s="3">
        <v>0</v>
      </c>
      <c r="D376" s="3">
        <v>0</v>
      </c>
      <c r="E376" s="3">
        <v>0</v>
      </c>
      <c r="F376" s="3">
        <v>53.8</v>
      </c>
      <c r="G376" t="s">
        <v>821</v>
      </c>
      <c r="H376" t="s">
        <v>820</v>
      </c>
      <c r="I376" t="s">
        <v>820</v>
      </c>
      <c r="J376" t="s">
        <v>820</v>
      </c>
      <c r="K376" t="s">
        <v>821</v>
      </c>
    </row>
    <row r="377" spans="1:11">
      <c r="A377" t="s">
        <v>758</v>
      </c>
      <c r="B377" s="3">
        <v>30.7</v>
      </c>
      <c r="C377" s="3">
        <v>0</v>
      </c>
      <c r="D377" s="3">
        <v>0</v>
      </c>
      <c r="E377" s="3">
        <v>0</v>
      </c>
      <c r="F377" s="3">
        <v>30.7</v>
      </c>
      <c r="G377" t="s">
        <v>821</v>
      </c>
      <c r="H377" t="s">
        <v>820</v>
      </c>
      <c r="I377" t="s">
        <v>820</v>
      </c>
      <c r="J377" t="s">
        <v>820</v>
      </c>
      <c r="K377" t="s">
        <v>821</v>
      </c>
    </row>
    <row r="378" spans="1:11">
      <c r="A378" t="s">
        <v>760</v>
      </c>
      <c r="B378" s="3">
        <v>13.9</v>
      </c>
      <c r="C378" s="3">
        <v>0</v>
      </c>
      <c r="D378" s="3">
        <v>2.3</v>
      </c>
      <c r="E378" s="3">
        <v>0</v>
      </c>
      <c r="F378" s="3">
        <v>13.9</v>
      </c>
      <c r="G378" t="s">
        <v>821</v>
      </c>
      <c r="H378" t="s">
        <v>820</v>
      </c>
      <c r="I378" t="s">
        <v>820</v>
      </c>
      <c r="J378" t="s">
        <v>820</v>
      </c>
      <c r="K378" t="s">
        <v>821</v>
      </c>
    </row>
    <row r="379" spans="1:11">
      <c r="A379" t="s">
        <v>762</v>
      </c>
      <c r="B379" s="3">
        <v>0</v>
      </c>
      <c r="C379" s="3">
        <v>0</v>
      </c>
      <c r="D379" s="3">
        <v>22.2</v>
      </c>
      <c r="E379" s="3">
        <v>0</v>
      </c>
      <c r="F379" s="3">
        <v>0</v>
      </c>
      <c r="G379" t="s">
        <v>821</v>
      </c>
      <c r="H379" t="s">
        <v>820</v>
      </c>
      <c r="I379" t="s">
        <v>822</v>
      </c>
      <c r="J379" t="s">
        <v>820</v>
      </c>
      <c r="K379" t="s">
        <v>821</v>
      </c>
    </row>
    <row r="380" spans="1:11">
      <c r="A380" t="s">
        <v>764</v>
      </c>
      <c r="B380" s="3">
        <v>0</v>
      </c>
      <c r="C380" s="3">
        <v>0</v>
      </c>
      <c r="D380" s="3">
        <v>20.7</v>
      </c>
      <c r="E380" s="3">
        <v>0</v>
      </c>
      <c r="F380" s="3">
        <v>0</v>
      </c>
      <c r="G380" t="s">
        <v>821</v>
      </c>
      <c r="H380" t="s">
        <v>820</v>
      </c>
      <c r="I380" t="s">
        <v>822</v>
      </c>
      <c r="J380" t="s">
        <v>820</v>
      </c>
      <c r="K380" t="s">
        <v>821</v>
      </c>
    </row>
    <row r="381" spans="1:11">
      <c r="A381" t="s">
        <v>766</v>
      </c>
      <c r="B381" s="3">
        <v>0</v>
      </c>
      <c r="C381" s="3">
        <v>0</v>
      </c>
      <c r="D381" s="3">
        <v>21.1</v>
      </c>
      <c r="E381" s="3">
        <v>0</v>
      </c>
      <c r="F381" s="3">
        <v>0</v>
      </c>
      <c r="G381" t="s">
        <v>821</v>
      </c>
      <c r="H381" t="s">
        <v>820</v>
      </c>
      <c r="I381" t="s">
        <v>822</v>
      </c>
      <c r="J381" t="s">
        <v>820</v>
      </c>
      <c r="K381" t="s">
        <v>821</v>
      </c>
    </row>
    <row r="382" spans="1:11">
      <c r="A382" t="s">
        <v>768</v>
      </c>
      <c r="B382" s="3">
        <v>0</v>
      </c>
      <c r="C382" s="3">
        <v>0</v>
      </c>
      <c r="D382" s="3">
        <v>21.4</v>
      </c>
      <c r="E382" s="3">
        <v>0</v>
      </c>
      <c r="F382" s="3">
        <v>0</v>
      </c>
      <c r="G382" t="s">
        <v>821</v>
      </c>
      <c r="H382" t="s">
        <v>820</v>
      </c>
      <c r="I382" t="s">
        <v>822</v>
      </c>
      <c r="J382" t="s">
        <v>820</v>
      </c>
      <c r="K382" t="s">
        <v>821</v>
      </c>
    </row>
    <row r="383" spans="1:11">
      <c r="A383" t="s">
        <v>770</v>
      </c>
      <c r="B383" s="3">
        <v>0</v>
      </c>
      <c r="C383" s="3">
        <v>0</v>
      </c>
      <c r="D383" s="3">
        <v>19.9</v>
      </c>
      <c r="E383" s="3">
        <v>0</v>
      </c>
      <c r="F383" s="3">
        <v>0</v>
      </c>
      <c r="G383" t="s">
        <v>820</v>
      </c>
      <c r="H383" t="s">
        <v>820</v>
      </c>
      <c r="I383" t="s">
        <v>820</v>
      </c>
      <c r="J383" t="s">
        <v>820</v>
      </c>
      <c r="K383" t="s">
        <v>820</v>
      </c>
    </row>
    <row r="384" spans="1:11">
      <c r="A384" t="s">
        <v>772</v>
      </c>
      <c r="B384" s="3">
        <v>0</v>
      </c>
      <c r="C384" s="3">
        <v>0</v>
      </c>
      <c r="D384" s="3">
        <v>19.9</v>
      </c>
      <c r="E384" s="3">
        <v>0</v>
      </c>
      <c r="F384" s="3">
        <v>0</v>
      </c>
      <c r="G384" t="s">
        <v>820</v>
      </c>
      <c r="H384" t="s">
        <v>820</v>
      </c>
      <c r="I384" t="s">
        <v>820</v>
      </c>
      <c r="J384" t="s">
        <v>820</v>
      </c>
      <c r="K384" t="s">
        <v>820</v>
      </c>
    </row>
    <row r="385" spans="1:11">
      <c r="A385" t="s">
        <v>774</v>
      </c>
      <c r="B385" s="3">
        <v>0</v>
      </c>
      <c r="C385" s="3">
        <v>0</v>
      </c>
      <c r="D385" s="3">
        <v>16</v>
      </c>
      <c r="E385" s="3">
        <v>0</v>
      </c>
      <c r="F385" s="3">
        <v>0</v>
      </c>
      <c r="G385" t="s">
        <v>820</v>
      </c>
      <c r="H385" t="s">
        <v>820</v>
      </c>
      <c r="I385" t="s">
        <v>821</v>
      </c>
      <c r="J385" t="s">
        <v>820</v>
      </c>
      <c r="K385" t="s">
        <v>820</v>
      </c>
    </row>
    <row r="386" spans="1:11">
      <c r="A386" t="s">
        <v>776</v>
      </c>
      <c r="B386" s="3">
        <v>0</v>
      </c>
      <c r="C386" s="3">
        <v>0</v>
      </c>
      <c r="D386" s="3">
        <v>16.8</v>
      </c>
      <c r="E386" s="3">
        <v>0</v>
      </c>
      <c r="F386" s="3">
        <v>0</v>
      </c>
      <c r="G386" t="s">
        <v>820</v>
      </c>
      <c r="H386" t="s">
        <v>820</v>
      </c>
      <c r="I386" t="s">
        <v>820</v>
      </c>
      <c r="J386" t="s">
        <v>820</v>
      </c>
      <c r="K386" t="s">
        <v>820</v>
      </c>
    </row>
    <row r="387" spans="1:11">
      <c r="A387" t="s">
        <v>778</v>
      </c>
      <c r="B387" s="3">
        <v>0</v>
      </c>
      <c r="C387" s="3">
        <v>0</v>
      </c>
      <c r="D387" s="3">
        <v>16</v>
      </c>
      <c r="E387" s="3">
        <v>0</v>
      </c>
      <c r="F387" s="3">
        <v>0</v>
      </c>
      <c r="G387" t="s">
        <v>820</v>
      </c>
      <c r="H387" t="s">
        <v>820</v>
      </c>
      <c r="I387" t="s">
        <v>820</v>
      </c>
      <c r="J387" t="s">
        <v>820</v>
      </c>
      <c r="K387" t="s">
        <v>820</v>
      </c>
    </row>
    <row r="388" spans="1:11">
      <c r="A388" t="s">
        <v>780</v>
      </c>
      <c r="B388" s="3">
        <v>0</v>
      </c>
      <c r="C388" s="3">
        <v>0</v>
      </c>
      <c r="D388" s="3">
        <v>15.6</v>
      </c>
      <c r="E388" s="3">
        <v>0</v>
      </c>
      <c r="F388" s="3">
        <v>0</v>
      </c>
      <c r="G388" t="s">
        <v>820</v>
      </c>
      <c r="H388" t="s">
        <v>820</v>
      </c>
      <c r="I388" t="s">
        <v>820</v>
      </c>
      <c r="J388" t="s">
        <v>820</v>
      </c>
      <c r="K388" t="s">
        <v>820</v>
      </c>
    </row>
    <row r="389" spans="1:11">
      <c r="A389" t="s">
        <v>782</v>
      </c>
      <c r="B389" s="3">
        <v>0</v>
      </c>
      <c r="C389" s="3">
        <v>0</v>
      </c>
      <c r="D389" s="3">
        <v>18</v>
      </c>
      <c r="E389" s="3">
        <v>0</v>
      </c>
      <c r="F389" s="3">
        <v>0</v>
      </c>
      <c r="G389" t="s">
        <v>820</v>
      </c>
      <c r="H389" t="s">
        <v>820</v>
      </c>
      <c r="I389" t="s">
        <v>820</v>
      </c>
      <c r="J389" t="s">
        <v>820</v>
      </c>
      <c r="K389" t="s">
        <v>820</v>
      </c>
    </row>
    <row r="390" spans="1:11">
      <c r="A390" t="s">
        <v>784</v>
      </c>
      <c r="B390" s="3">
        <v>0</v>
      </c>
      <c r="C390" s="3">
        <v>0</v>
      </c>
      <c r="D390" s="3">
        <v>18.8</v>
      </c>
      <c r="E390" s="3">
        <v>0</v>
      </c>
      <c r="F390" s="3">
        <v>0</v>
      </c>
      <c r="G390" t="s">
        <v>820</v>
      </c>
      <c r="H390" t="s">
        <v>820</v>
      </c>
      <c r="I390" t="s">
        <v>820</v>
      </c>
      <c r="J390" t="s">
        <v>820</v>
      </c>
      <c r="K390" t="s">
        <v>820</v>
      </c>
    </row>
    <row r="391" spans="1:11">
      <c r="A391" t="s">
        <v>786</v>
      </c>
      <c r="B391" s="3">
        <v>0</v>
      </c>
      <c r="C391" s="3">
        <v>0</v>
      </c>
      <c r="D391" s="3">
        <v>18.4</v>
      </c>
      <c r="E391" s="3">
        <v>0</v>
      </c>
      <c r="F391" s="3">
        <v>0</v>
      </c>
      <c r="G391" t="s">
        <v>820</v>
      </c>
      <c r="H391" t="s">
        <v>820</v>
      </c>
      <c r="I391" t="s">
        <v>820</v>
      </c>
      <c r="J391" t="s">
        <v>820</v>
      </c>
      <c r="K391" t="s">
        <v>820</v>
      </c>
    </row>
    <row r="392" spans="1:11">
      <c r="A392" t="s">
        <v>788</v>
      </c>
      <c r="B392" s="3">
        <v>0</v>
      </c>
      <c r="C392" s="3">
        <v>0</v>
      </c>
      <c r="D392" s="3">
        <v>16.4</v>
      </c>
      <c r="E392" s="3">
        <v>0</v>
      </c>
      <c r="F392" s="3">
        <v>0</v>
      </c>
      <c r="G392" t="s">
        <v>820</v>
      </c>
      <c r="H392" t="s">
        <v>820</v>
      </c>
      <c r="I392" t="s">
        <v>820</v>
      </c>
      <c r="J392" t="s">
        <v>820</v>
      </c>
      <c r="K392" t="s">
        <v>820</v>
      </c>
    </row>
    <row r="393" spans="1:11">
      <c r="A393" t="s">
        <v>790</v>
      </c>
      <c r="B393" s="3">
        <v>0</v>
      </c>
      <c r="C393" s="3">
        <v>0</v>
      </c>
      <c r="D393" s="3">
        <v>17.6</v>
      </c>
      <c r="E393" s="3">
        <v>0</v>
      </c>
      <c r="F393" s="3">
        <v>0</v>
      </c>
      <c r="G393" t="s">
        <v>820</v>
      </c>
      <c r="H393" t="s">
        <v>820</v>
      </c>
      <c r="I393" t="s">
        <v>820</v>
      </c>
      <c r="J393" t="s">
        <v>820</v>
      </c>
      <c r="K393" t="s">
        <v>820</v>
      </c>
    </row>
    <row r="394" spans="1:11">
      <c r="A394" t="s">
        <v>792</v>
      </c>
      <c r="B394" s="3">
        <v>0</v>
      </c>
      <c r="C394" s="3">
        <v>0</v>
      </c>
      <c r="D394" s="3">
        <v>18</v>
      </c>
      <c r="E394" s="3">
        <v>0</v>
      </c>
      <c r="F394" s="3">
        <v>0</v>
      </c>
      <c r="G394" t="s">
        <v>820</v>
      </c>
      <c r="H394" t="s">
        <v>820</v>
      </c>
      <c r="I394" t="s">
        <v>820</v>
      </c>
      <c r="J394" t="s">
        <v>820</v>
      </c>
      <c r="K394" t="s">
        <v>820</v>
      </c>
    </row>
    <row r="395" spans="1:11">
      <c r="A395" t="s">
        <v>794</v>
      </c>
      <c r="B395" s="3">
        <v>0</v>
      </c>
      <c r="C395" s="3">
        <v>0</v>
      </c>
      <c r="D395" s="3">
        <v>18</v>
      </c>
      <c r="E395" s="3">
        <v>0</v>
      </c>
      <c r="F395" s="3">
        <v>0</v>
      </c>
      <c r="G395" t="s">
        <v>820</v>
      </c>
      <c r="H395" t="s">
        <v>820</v>
      </c>
      <c r="I395" t="s">
        <v>820</v>
      </c>
      <c r="J395" t="s">
        <v>820</v>
      </c>
      <c r="K395" t="s">
        <v>820</v>
      </c>
    </row>
    <row r="396" spans="1:11">
      <c r="A396" t="s">
        <v>796</v>
      </c>
      <c r="B396" s="3">
        <v>0</v>
      </c>
      <c r="C396" s="3">
        <v>0</v>
      </c>
      <c r="D396" s="3">
        <v>20.3</v>
      </c>
      <c r="E396" s="3">
        <v>0</v>
      </c>
      <c r="F396" s="3">
        <v>0</v>
      </c>
      <c r="G396" t="s">
        <v>820</v>
      </c>
      <c r="H396" t="s">
        <v>820</v>
      </c>
      <c r="I396" t="s">
        <v>822</v>
      </c>
      <c r="J396" t="s">
        <v>820</v>
      </c>
      <c r="K396" t="s">
        <v>820</v>
      </c>
    </row>
    <row r="397" spans="1:11">
      <c r="A397" t="s">
        <v>798</v>
      </c>
      <c r="B397" s="3">
        <v>0</v>
      </c>
      <c r="C397" s="3">
        <v>0</v>
      </c>
      <c r="D397" s="3">
        <v>21.8</v>
      </c>
      <c r="E397" s="3">
        <v>0</v>
      </c>
      <c r="F397" s="3">
        <v>0</v>
      </c>
      <c r="G397" t="s">
        <v>820</v>
      </c>
      <c r="H397" t="s">
        <v>820</v>
      </c>
      <c r="I397" t="s">
        <v>822</v>
      </c>
      <c r="J397" t="s">
        <v>820</v>
      </c>
      <c r="K397" t="s">
        <v>820</v>
      </c>
    </row>
    <row r="398" spans="1:11">
      <c r="A398" t="s">
        <v>800</v>
      </c>
      <c r="B398" s="3">
        <v>0</v>
      </c>
      <c r="C398" s="3">
        <v>0</v>
      </c>
      <c r="D398" s="3">
        <v>21.8</v>
      </c>
      <c r="E398" s="3">
        <v>0</v>
      </c>
      <c r="F398" s="3">
        <v>0</v>
      </c>
      <c r="G398" t="s">
        <v>820</v>
      </c>
      <c r="H398" t="s">
        <v>820</v>
      </c>
      <c r="I398" t="s">
        <v>820</v>
      </c>
      <c r="J398" t="s">
        <v>820</v>
      </c>
      <c r="K398" t="s">
        <v>820</v>
      </c>
    </row>
    <row r="399" spans="1:11">
      <c r="A399" t="s">
        <v>4</v>
      </c>
      <c r="B399" s="3">
        <v>0</v>
      </c>
      <c r="C399" s="3">
        <v>0</v>
      </c>
      <c r="D399" s="3">
        <v>23.6</v>
      </c>
      <c r="E399" s="3">
        <v>0</v>
      </c>
      <c r="F399" s="3">
        <v>0</v>
      </c>
      <c r="G399" t="s">
        <v>820</v>
      </c>
      <c r="H399" t="s">
        <v>820</v>
      </c>
      <c r="I399" t="s">
        <v>822</v>
      </c>
      <c r="J399" t="s">
        <v>820</v>
      </c>
      <c r="K399" t="s">
        <v>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Experiment</vt:lpstr>
      <vt:lpstr>Gas trends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2026-10-09T15:42:15Z</dcterms:created>
  <dcterms:modified xsi:type="dcterms:W3CDTF">2026-10-09T15:42:15Z</dcterms:modified>
</cp:coreProperties>
</file>